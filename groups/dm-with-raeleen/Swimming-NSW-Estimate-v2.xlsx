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  <sheet sheetId="2" name="Rates &amp; Settings" state="visible" r:id="rId5"/>
  </sheets>
  <calcPr calcId="171027"/>
</workbook>
</file>

<file path=xl/sharedStrings.xml><?xml version="1.0" encoding="utf-8"?>
<sst xmlns="http://schemas.openxmlformats.org/spreadsheetml/2006/main" count="227" uniqueCount="110">
  <si>
    <t>Client</t>
  </si>
  <si>
    <t>Swimming NSW</t>
  </si>
  <si>
    <t>Use Type = Header for section headings.</t>
  </si>
  <si>
    <t>GST %</t>
  </si>
  <si>
    <t>Live quote summary</t>
  </si>
  <si>
    <t>Project</t>
  </si>
  <si>
    <t>Swimming NSW Website Redevelopment</t>
  </si>
  <si>
    <t>Header rows show subtotal in price column.</t>
  </si>
  <si>
    <t>Contingency %</t>
  </si>
  <si>
    <t>Labour &amp; materials</t>
  </si>
  <si>
    <t>Prepared by</t>
  </si>
  <si>
    <t>Mettro</t>
  </si>
  <si>
    <t xml:space="preserve">Use Type = Item for inclusions. </t>
  </si>
  <si>
    <t>Discount %</t>
  </si>
  <si>
    <t>Contingency</t>
  </si>
  <si>
    <t>DO NOT delete price and line total fields</t>
  </si>
  <si>
    <t>Discount</t>
  </si>
  <si>
    <t>Subtotal</t>
  </si>
  <si>
    <t>Total inc GST</t>
  </si>
  <si>
    <t>Type</t>
  </si>
  <si>
    <t>Scope / inclusion</t>
  </si>
  <si>
    <t>Price</t>
  </si>
  <si>
    <t>Role 1</t>
  </si>
  <si>
    <t>Hrs</t>
  </si>
  <si>
    <t>Role 2</t>
  </si>
  <si>
    <t>Role 3</t>
  </si>
  <si>
    <t>Material cost</t>
  </si>
  <si>
    <t>Line total</t>
  </si>
  <si>
    <t>Section key</t>
  </si>
  <si>
    <t>Header</t>
  </si>
  <si>
    <t>Blueprint Strategy</t>
  </si>
  <si>
    <t>Item</t>
  </si>
  <si>
    <t>Project setup, brief documents, schedule and client material requests</t>
  </si>
  <si>
    <t>Project Management</t>
  </si>
  <si>
    <t>Client and Mettro team kickoff meeting</t>
  </si>
  <si>
    <t>Review of existing Swimming NSW sites, content and asset audit across two sites</t>
  </si>
  <si>
    <t>Strategy</t>
  </si>
  <si>
    <t>Content architecture, CPT field definitions, component and template map</t>
  </si>
  <si>
    <t>Blueprint Strategy document</t>
  </si>
  <si>
    <t>Technical framework and plugin recommendations</t>
  </si>
  <si>
    <t>Client sign-off and amendments</t>
  </si>
  <si>
    <t>Spacer</t>
  </si>
  <si>
    <t>Design: Artwork Adaptation</t>
  </si>
  <si>
    <t>Homepage design adaptation</t>
  </si>
  <si>
    <t>Design</t>
  </si>
  <si>
    <t>Mega menu and primary navigation design</t>
  </si>
  <si>
    <t>Interior and standard content page template</t>
  </si>
  <si>
    <t>News listing and news article detail page</t>
  </si>
  <si>
    <t>Events listing (grid, list and monthly calendar views) and event detail page</t>
  </si>
  <si>
    <t>Resource Hub listing and resource detail page</t>
  </si>
  <si>
    <t>Sponsors and partners section</t>
  </si>
  <si>
    <t>Additional page templates (est. 3, confirmed at Blueprint stage)</t>
  </si>
  <si>
    <t>Development</t>
  </si>
  <si>
    <t>WordPress CMS environment setup</t>
  </si>
  <si>
    <t>GreyboxPro theme and global style engine</t>
  </si>
  <si>
    <t>Brand configuration: CSS custom properties, colours and typography</t>
  </si>
  <si>
    <t>Mega menu and primary navigation build</t>
  </si>
  <si>
    <t>Homepage build</t>
  </si>
  <si>
    <t>Interior and standard page template build</t>
  </si>
  <si>
    <t>Contact form (Gravity Forms)</t>
  </si>
  <si>
    <t>Site search configuration</t>
  </si>
  <si>
    <t>Google Analytics 4 and Google Search Console setup</t>
  </si>
  <si>
    <t>reCAPTCHA integration</t>
  </si>
  <si>
    <t>Events Custom Post Type setup</t>
  </si>
  <si>
    <t>WordPress calendar plugin installation and configuration</t>
  </si>
  <si>
    <t>Events grid view and list view</t>
  </si>
  <si>
    <t>Events monthly calendar view</t>
  </si>
  <si>
    <t>Event detail page template</t>
  </si>
  <si>
    <t>Resource Hub CPT setup with dual taxonomy: Categories and Resource Types</t>
  </si>
  <si>
    <t>Resource Hub listing page with filtering</t>
  </si>
  <si>
    <t>Resource Hub detail page template</t>
  </si>
  <si>
    <t>Sponsor and Ad CPT component: adaptation and configuration for Swimming NSW</t>
  </si>
  <si>
    <t>Microsoft 365 Forms: embedding into nominated site pages</t>
  </si>
  <si>
    <t>Integration &amp; Technical</t>
  </si>
  <si>
    <t>OneDrive document library: linking from relevant pages</t>
  </si>
  <si>
    <t>Content and Training</t>
  </si>
  <si>
    <t>Content entry: homepage and interior pages</t>
  </si>
  <si>
    <t>Content Entry</t>
  </si>
  <si>
    <t>Content entry: news, events and Resource Hub</t>
  </si>
  <si>
    <t>Content entry: sponsors, forms and metadata</t>
  </si>
  <si>
    <t>CMS training session (online or in person)</t>
  </si>
  <si>
    <t>Golive and Delivery</t>
  </si>
  <si>
    <t>Pre-golive QA: cross-browser and device testing</t>
  </si>
  <si>
    <t>Quality Assurance</t>
  </si>
  <si>
    <t>Forms, integrations and functionality testing</t>
  </si>
  <si>
    <t>301 redirects: consolidating two existing sites into one</t>
  </si>
  <si>
    <t>Golive execution</t>
  </si>
  <si>
    <t>Post-golive QA</t>
  </si>
  <si>
    <t>Handover documentation pack</t>
  </si>
  <si>
    <t>SUBTOTAL</t>
  </si>
  <si>
    <t>GST</t>
  </si>
  <si>
    <t>TOTAL INC GST</t>
  </si>
  <si>
    <t>Approximate annual plugin licensing per year (paid directly by client)</t>
  </si>
  <si>
    <t>*Includes Gravity Forms, calendar plugin. WP Engine hosting to be quoted separately. To be confirmed at Blueprint stage.</t>
  </si>
  <si>
    <t>Optional Add-Ons (ex GST, not included in base estimate above)</t>
  </si>
  <si>
    <t>Option A: News Article Migration (800+ articles, Drupal to WordPress): data mapping, bulk import and post-import QA</t>
  </si>
  <si>
    <t>Option B: Standard Content Page Migration (export/import from existing Drupal site) — content audit, import setup, post-migration QA</t>
  </si>
  <si>
    <t>All option prices are ex GST. Contingency not applied to optional add-ons.</t>
  </si>
  <si>
    <t>Mettro Estimating Guide &amp; Rates</t>
  </si>
  <si>
    <t>Retainer / commitment discount %</t>
  </si>
  <si>
    <t>After-hours multiplier</t>
  </si>
  <si>
    <t>Role / category</t>
  </si>
  <si>
    <t>Rate ex GST</t>
  </si>
  <si>
    <t>Row Types</t>
  </si>
  <si>
    <t>Digital Marketing</t>
  </si>
  <si>
    <t>Copywriting</t>
  </si>
  <si>
    <t>SEO/AEO/GEO</t>
  </si>
  <si>
    <t>Standard Support</t>
  </si>
  <si>
    <t>12-Month Support Plan</t>
  </si>
  <si>
    <t>External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</si>
</sst>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&quot;$&quot;#,##0"/>
    <numFmt numFmtId="166" formatCode="0.00x"/>
  </numFmts>
  <fonts count="18" x14ac:knownFonts="1">
    <font>
      <color theme="1"/>
      <family val="2"/>
      <scheme val="minor"/>
      <sz val="11"/>
      <name val="Calibri"/>
    </font>
    <font>
      <b/>
      <color rgb="FF000000"/>
      <sz val="14"/>
      <name val="Plus Jakarta Sans"/>
    </font>
    <font>
      <b/>
      <color rgb="FF000000"/>
      <name val="Plus Jakarta Sans"/>
    </font>
    <font>
      <color theme="1"/>
      <sz val="10"/>
      <name val="Plus Jakarta Sans"/>
    </font>
    <font>
      <b/>
      <color theme="1"/>
      <sz val="10"/>
      <name val="Plus Jakarta Sans"/>
    </font>
    <font>
      <b/>
      <color rgb="FF000000"/>
      <sz val="10"/>
      <name val="Plus Jakarta Sans"/>
    </font>
    <font>
      <color rgb="FF000000"/>
      <sz val="10"/>
      <name val="Plus Jakarta Sans"/>
    </font>
    <font>
      <i/>
      <color theme="1"/>
      <sz val="10"/>
      <name val="Plus Jakarta Sans"/>
    </font>
    <font>
      <color theme="1"/>
      <sz val="11"/>
      <name val="Plus Jakarta Sans"/>
    </font>
    <font>
      <color rgb="FF999999"/>
      <sz val="9"/>
      <name val="Plus Jakarta Sans"/>
    </font>
    <font>
      <color theme="1"/>
      <sz val="9"/>
      <name val="Plus Jakarta Sans"/>
    </font>
    <font>
      <b/>
      <color rgb="FF999999"/>
      <sz val="9"/>
      <name val="Plus Jakarta Sans"/>
    </font>
    <font>
      <b/>
      <color theme="1"/>
      <sz val="11"/>
      <name val="Plus Jakarta Sans"/>
    </font>
    <font>
      <b/>
      <color rgb="FF999999"/>
      <sz val="11"/>
      <name val="Plus Jakarta Sans"/>
    </font>
    <font>
      <b/>
      <color theme="1"/>
      <sz val="9"/>
      <name val="Plus Jakarta Sans"/>
    </font>
    <font>
      <b/>
      <color theme="1"/>
      <name val="Plus Jakarta Sans"/>
    </font>
    <font>
      <color theme="1"/>
      <scheme val="minor"/>
      <sz val="9"/>
      <name val="Carlito"/>
    </font>
    <font>
      <color theme="1"/>
      <sz val="8"/>
      <name val="Plus Jakarta Sans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3F4F6"/>
        <bgColor rgb="FFF3F4F6"/>
      </patternFill>
    </fill>
    <fill>
      <patternFill patternType="solid">
        <fgColor rgb="FF111111"/>
        <bgColor rgb="FF111111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 style="thin">
        <color rgb="FFCCCCCC"/>
      </top>
      <bottom style="thin">
        <color rgb="FFCCCCCC"/>
      </bottom>
      <diagonal/>
    </border>
    <border>
      <left style="thin">
        <color rgb="FFEFEFEF"/>
      </left>
      <right style="thin">
        <color rgb="FFEFEFEF"/>
      </right>
      <top style="thin">
        <color rgb="FFCCCCCC"/>
      </top>
      <bottom style="thin">
        <color rgb="FFCCCCCC"/>
      </bottom>
      <diagonal/>
    </border>
    <border>
      <left style="thin">
        <color rgb="FFEFEFEF"/>
      </left>
      <right/>
      <top/>
      <bottom style="thin">
        <color rgb="FFCCCCCC"/>
      </bottom>
      <diagonal/>
    </border>
    <border>
      <left style="thin">
        <color rgb="FFEFEFEF"/>
      </left>
      <right style="thin">
        <color rgb="FFEFEFEF"/>
      </right>
      <top/>
      <bottom style="thin">
        <color rgb="FFCCCCCC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0" xfId="0" applyFont="1" applyAlignment="1">
      <alignment vertical="center" readingOrder="1"/>
    </xf>
    <xf numFmtId="9" fontId="3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9" fontId="3" fillId="0" borderId="0" xfId="0" applyNumberFormat="1" applyFont="1" applyAlignment="1">
      <alignment vertical="center" readingOrder="1"/>
    </xf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7" fillId="0" borderId="0" xfId="0" applyFont="1" applyAlignment="1">
      <alignment vertical="center" wrapText="1"/>
    </xf>
    <xf numFmtId="164" fontId="4" fillId="3" borderId="0" xfId="0" applyNumberFormat="1" applyFont="1" applyFill="1" applyAlignment="1">
      <alignment horizontal="right" vertical="center"/>
    </xf>
    <xf numFmtId="0" fontId="8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 readingOrder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 readingOrder="1"/>
    </xf>
    <xf numFmtId="0" fontId="12" fillId="5" borderId="1" xfId="0" applyFont="1" applyFill="1" applyBorder="1" applyAlignment="1">
      <alignment vertical="center" wrapText="1"/>
    </xf>
    <xf numFmtId="164" fontId="12" fillId="5" borderId="1" xfId="0" applyNumberFormat="1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2" fontId="13" fillId="5" borderId="1" xfId="0" applyNumberFormat="1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2" fontId="9" fillId="0" borderId="1" xfId="0" applyNumberFormat="1" applyFont="1" applyBorder="1" applyAlignment="1">
      <alignment horizontal="center" vertical="center" wrapText="1" readingOrder="1"/>
    </xf>
    <xf numFmtId="2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vertical="center" wrapText="1" readingOrder="1"/>
    </xf>
    <xf numFmtId="164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 readingOrder="1"/>
    </xf>
    <xf numFmtId="0" fontId="8" fillId="5" borderId="1" xfId="0" applyFont="1" applyFill="1" applyBorder="1" applyAlignment="1">
      <alignment vertical="center" wrapText="1" readingOrder="1"/>
    </xf>
    <xf numFmtId="0" fontId="9" fillId="5" borderId="1" xfId="0" applyFont="1" applyFill="1" applyBorder="1" applyAlignment="1">
      <alignment vertical="center" wrapText="1" readingOrder="1"/>
    </xf>
    <xf numFmtId="2" fontId="9" fillId="5" borderId="1" xfId="0" applyNumberFormat="1" applyFont="1" applyFill="1" applyBorder="1" applyAlignment="1">
      <alignment horizontal="center" vertical="center" wrapText="1" readingOrder="1"/>
    </xf>
    <xf numFmtId="2" fontId="9" fillId="5" borderId="1" xfId="0" applyNumberFormat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164" fontId="8" fillId="0" borderId="2" xfId="0" applyNumberFormat="1" applyFont="1" applyBorder="1" applyAlignment="1">
      <alignment vertical="center" wrapText="1"/>
    </xf>
    <xf numFmtId="0" fontId="14" fillId="5" borderId="3" xfId="0" applyFont="1" applyFill="1" applyBorder="1" applyAlignment="1">
      <alignment horizontal="right" vertical="center" wrapText="1" readingOrder="1"/>
    </xf>
    <xf numFmtId="0" fontId="12" fillId="5" borderId="4" xfId="0" applyFont="1" applyFill="1" applyBorder="1" applyAlignment="1">
      <alignment horizontal="right" vertical="center" wrapText="1" readingOrder="1"/>
    </xf>
    <xf numFmtId="164" fontId="15" fillId="0" borderId="5" xfId="0" applyNumberFormat="1" applyFont="1" applyBorder="1" applyAlignment="1">
      <alignment vertical="center"/>
    </xf>
    <xf numFmtId="0" fontId="10" fillId="5" borderId="3" xfId="0" applyFont="1" applyFill="1" applyBorder="1" applyAlignment="1">
      <alignment horizontal="right" vertical="center" wrapText="1"/>
    </xf>
    <xf numFmtId="0" fontId="8" fillId="5" borderId="6" xfId="0" applyFont="1" applyFill="1" applyBorder="1" applyAlignment="1">
      <alignment horizontal="right" vertical="center" wrapText="1"/>
    </xf>
    <xf numFmtId="164" fontId="8" fillId="5" borderId="7" xfId="0" applyNumberFormat="1" applyFont="1" applyFill="1" applyBorder="1" applyAlignment="1">
      <alignment vertical="center" wrapText="1"/>
    </xf>
    <xf numFmtId="0" fontId="16" fillId="0" borderId="0" xfId="0" applyFont="1"/>
    <xf numFmtId="0" fontId="8" fillId="0" borderId="6" xfId="0" applyFont="1" applyBorder="1" applyAlignment="1">
      <alignment horizontal="right" vertical="center" wrapText="1"/>
    </xf>
    <xf numFmtId="164" fontId="8" fillId="0" borderId="7" xfId="0" applyNumberFormat="1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 readingOrder="1"/>
    </xf>
    <xf numFmtId="164" fontId="12" fillId="5" borderId="0" xfId="0" applyNumberFormat="1" applyFont="1" applyFill="1" applyAlignment="1">
      <alignment horizontal="right" vertical="center" readingOrder="1"/>
    </xf>
    <xf numFmtId="0" fontId="9" fillId="0" borderId="3" xfId="0" applyFont="1" applyBorder="1" applyAlignment="1">
      <alignment horizontal="left" vertical="center" wrapText="1"/>
    </xf>
    <xf numFmtId="0" fontId="17" fillId="0" borderId="0" xfId="0" applyFont="1" applyAlignment="1">
      <alignment vertical="center" wrapText="1" readingOrder="1"/>
    </xf>
    <xf numFmtId="0" fontId="9" fillId="0" borderId="8" xfId="0" applyFont="1" applyBorder="1" applyAlignment="1">
      <alignment vertical="center" wrapText="1"/>
    </xf>
    <xf numFmtId="164" fontId="12" fillId="5" borderId="0" xfId="0" applyNumberFormat="1" applyFont="1" applyFill="1" applyAlignment="1">
      <alignment horizontal="right" vertical="center" wrapText="1"/>
    </xf>
    <xf numFmtId="165" fontId="12" fillId="0" borderId="0" xfId="0" applyNumberFormat="1" applyFont="1" applyAlignment="1">
      <alignment vertical="center" wrapText="1" readingOrder="1"/>
    </xf>
    <xf numFmtId="164" fontId="12" fillId="5" borderId="0" xfId="0" applyNumberFormat="1" applyFont="1" applyFill="1" applyAlignment="1">
      <alignment horizontal="right" vertical="center" wrapText="1" readingOrder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 readingOrder="1"/>
    </xf>
    <xf numFmtId="164" fontId="3" fillId="0" borderId="0" xfId="0" applyNumberFormat="1" applyFont="1" applyAlignment="1">
      <alignment vertical="center" wrapText="1" readingOrder="1"/>
    </xf>
  </cellXfs>
  <cellStyles count="1">
    <cellStyle name="Normal" xfId="0" builtinId="0"/>
  </cellStyles>
  <dxfs count="3">
    <dxf>
      <font>
        <b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B7E1CD"/>
          <bgColor rgb="FFB7E1CD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2"/>
  <sheetViews>
    <sheetView workbookViewId="0" zoomScale="100" zoomScaleNormal="100"/>
  </sheetViews>
  <sheetFormatPr defaultRowHeight="15" outlineLevelRow="0" outlineLevelCol="0" x14ac:dyDescent="0" defaultColWidth="12.63"/>
  <cols>
    <col min="1" max="1" width="12" customWidth="1"/>
    <col min="2" max="2" width="78.25" customWidth="1"/>
    <col min="3" max="3" width="16" customWidth="1"/>
    <col min="4" max="4" width="19.88" customWidth="1"/>
    <col min="5" max="5" width="8" customWidth="1"/>
    <col min="6" max="6" width="20.38" customWidth="1"/>
    <col min="7" max="7" width="8" customWidth="1"/>
    <col min="8" max="8" width="21.5" customWidth="1"/>
    <col min="9" max="9" width="8" customWidth="1"/>
    <col min="10" max="10" width="12.38" customWidth="1"/>
    <col min="11" max="11" width="15" customWidth="1"/>
    <col min="12" max="12" width="30.75" hidden="1" customWidth="1"/>
    <col min="13" max="26" width="8.63" customWidth="1"/>
  </cols>
  <sheetData>
    <row r="1" ht="27.75" customHeight="1" spans="1:26" x14ac:dyDescent="0.25">
      <c r="A1" s="1" t="str">
        <f>B3</f>
        <v>Estimate name</v>
      </c>
      <c r="B1"/>
      <c r="C1"/>
      <c r="D1"/>
      <c r="E1"/>
      <c r="F1"/>
      <c r="G1"/>
      <c r="H1"/>
      <c r="I1"/>
      <c r="J1"/>
      <c r="K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0</v>
      </c>
      <c r="B3" s="5" t="s">
        <v>1</v>
      </c>
      <c r="C3" s="5" t="s">
        <v>2</v>
      </c>
      <c r="F3" s="4" t="s">
        <v>3</v>
      </c>
      <c r="G3" s="6">
        <f>'Rates &amp; Settings'!B3</f>
        <v>0.1</v>
      </c>
      <c r="H3" s="3"/>
      <c r="I3" s="7" t="s">
        <v>4</v>
      </c>
      <c r="J3" s="8"/>
      <c r="K3" s="9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4" t="s">
        <v>5</v>
      </c>
      <c r="B4" s="5" t="s">
        <v>6</v>
      </c>
      <c r="C4" s="5" t="s">
        <v>7</v>
      </c>
      <c r="F4" s="4" t="s">
        <v>8</v>
      </c>
      <c r="G4" s="10">
        <v>0.1</v>
      </c>
      <c r="H4" s="11"/>
      <c r="I4" s="12" t="s">
        <v>9</v>
      </c>
      <c r="J4" s="3"/>
      <c r="K4" s="13">
        <f>SUMIFS($K$12:$K$78,$A$12:$A$78,"Item")</f>
        <v>630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 t="s">
        <v>10</v>
      </c>
      <c r="B5" s="5" t="s">
        <v>11</v>
      </c>
      <c r="C5" s="5" t="s">
        <v>12</v>
      </c>
      <c r="F5" s="14" t="s">
        <v>13</v>
      </c>
      <c r="G5" s="10">
        <f>'Rates &amp; Settings'!B5</f>
        <v>0</v>
      </c>
      <c r="H5" s="11"/>
      <c r="I5" s="12" t="s">
        <v>14</v>
      </c>
      <c r="J5" s="3"/>
      <c r="K5" s="13">
        <f>K4*$G$4</f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/>
      <c r="B6" s="3"/>
      <c r="C6" s="5" t="s">
        <v>15</v>
      </c>
      <c r="D6" s="3"/>
      <c r="E6" s="3"/>
      <c r="F6" s="3"/>
      <c r="H6" s="11"/>
      <c r="I6" s="15" t="s">
        <v>16</v>
      </c>
      <c r="J6" s="3"/>
      <c r="K6" s="13">
        <f>-(K4+K5)*$G$5</f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6"/>
      <c r="B7" s="16"/>
      <c r="C7" s="16"/>
      <c r="D7" s="3"/>
      <c r="E7" s="3"/>
      <c r="F7" s="3"/>
      <c r="H7" s="11"/>
      <c r="I7" s="15" t="s">
        <v>17</v>
      </c>
      <c r="J7" s="3"/>
      <c r="K7" s="17">
        <f>(K4+K5)-K6</f>
        <v>630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H8" s="11"/>
      <c r="I8" s="12" t="s">
        <v>18</v>
      </c>
      <c r="J8" s="3"/>
      <c r="K8" s="17">
        <f>K7*(1+$G$3)</f>
        <v>693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1.75" customHeight="1" spans="1:26" x14ac:dyDescent="0.25">
      <c r="A10" s="19" t="s">
        <v>19</v>
      </c>
      <c r="B10" s="19" t="s">
        <v>20</v>
      </c>
      <c r="C10" s="20" t="s">
        <v>21</v>
      </c>
      <c r="D10" s="21" t="s">
        <v>22</v>
      </c>
      <c r="E10" s="21" t="s">
        <v>23</v>
      </c>
      <c r="F10" s="21" t="s">
        <v>24</v>
      </c>
      <c r="G10" s="21" t="s">
        <v>23</v>
      </c>
      <c r="H10" s="21" t="s">
        <v>25</v>
      </c>
      <c r="I10" s="21" t="s">
        <v>23</v>
      </c>
      <c r="J10" s="22" t="s">
        <v>26</v>
      </c>
      <c r="K10" s="22" t="s">
        <v>27</v>
      </c>
      <c r="L10" s="23" t="s">
        <v>28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x14ac:dyDescent="0.25">
      <c r="A11" s="25"/>
      <c r="B11" s="26"/>
      <c r="C11" s="26"/>
      <c r="D11" s="27"/>
      <c r="E11" s="27"/>
      <c r="F11" s="27"/>
      <c r="G11" s="27"/>
      <c r="H11" s="27"/>
      <c r="I11" s="27"/>
      <c r="J11" s="27"/>
      <c r="K11" s="27"/>
      <c r="L11" s="28"/>
      <c r="M11" s="28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8.75" customHeight="1" spans="1:26" x14ac:dyDescent="0.25">
      <c r="A12" s="29" t="s">
        <v>29</v>
      </c>
      <c r="B12" s="30" t="s">
        <v>30</v>
      </c>
      <c r="C12" s="31">
        <f t="shared" ref="C12:C78" si="0">IF($A12="Header",SUMIFS($K$12:$K$78,$L$12:$L$78,$L12),"")</f>
        <v>630</v>
      </c>
      <c r="D12" s="32"/>
      <c r="E12" s="33"/>
      <c r="F12" s="32"/>
      <c r="G12" s="33"/>
      <c r="H12" s="32"/>
      <c r="I12" s="33"/>
      <c r="J12" s="34"/>
      <c r="K12" s="34">
        <f>IF($A12="Item",IFERROR(VLOOKUP($D12,'Rates &amp; Settings'!$A$9:$B$21,2,FALSE)*$E12,0)+IFERROR(VLOOKUP($F12,'Rates &amp; Settings'!$A$9:$B$21,2,FALSE)*$G12,0)+IFERROR(VLOOKUP($H12,'Rates &amp; Settings'!$A$9:$B$21,2,FALSE)*$I12,0)+$J12,"")</f>
      </c>
      <c r="L12" s="26" t="str">
        <f t="shared" ref="L12:L78" si="1">IF($A12="Header",$B12,IF($A12="Item",IFERROR(INDEX($B$12:$B12,MATCH(2,1/($A$12:$A12="Header"),1)),""),""))</f>
        <v>Blueprint Strategy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8.75" customHeight="1" spans="1:26" x14ac:dyDescent="0.25">
      <c r="A13" s="25" t="s">
        <v>31</v>
      </c>
      <c r="B13" s="35" t="s">
        <v>32</v>
      </c>
      <c r="C13" s="31">
        <f t="shared" si="0"/>
      </c>
      <c r="D13" s="36" t="s">
        <v>33</v>
      </c>
      <c r="E13" s="37">
        <v>4</v>
      </c>
      <c r="F13" s="36"/>
      <c r="G13" s="37"/>
      <c r="H13" s="27"/>
      <c r="I13" s="38"/>
      <c r="J13" s="39"/>
      <c r="K13" s="40">
        <f>IF($A13="Item",IFERROR(VLOOKUP($D13,'Rates &amp; Settings'!$A$9:$B$21,2,FALSE)*$E13,0)+IFERROR(VLOOKUP($F13,'Rates &amp; Settings'!$A$9:$B$21,2,FALSE)*$G13,0)+IFERROR(VLOOKUP($H13,'Rates &amp; Settings'!$A$9:$B$21,2,FALSE)*$I13,0)+$J13,"")</f>
        <v>630</v>
      </c>
      <c r="L13" s="26" t="str">
        <f t="shared" si="1"/>
        <v>Blueprint Strategy</v>
      </c>
      <c r="M13" s="28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8.75" customHeight="1" spans="1:26" x14ac:dyDescent="0.25">
      <c r="A14" s="25" t="s">
        <v>31</v>
      </c>
      <c r="B14" s="35" t="s">
        <v>34</v>
      </c>
      <c r="C14" s="31">
        <f t="shared" si="0"/>
      </c>
      <c r="D14" s="36" t="s">
        <v>33</v>
      </c>
      <c r="E14" s="37">
        <v>2</v>
      </c>
      <c r="F14" s="36"/>
      <c r="G14" s="37"/>
      <c r="H14" s="27"/>
      <c r="I14" s="38"/>
      <c r="J14" s="40"/>
      <c r="K14" s="40">
        <f>IF($A14="Item",IFERROR(VLOOKUP($D14,'Rates &amp; Settings'!$A$9:$B$21,2,FALSE)*$E14,0)+IFERROR(VLOOKUP($F14,'Rates &amp; Settings'!$A$9:$B$21,2,FALSE)*$G14,0)+IFERROR(VLOOKUP($H14,'Rates &amp; Settings'!$A$9:$B$21,2,FALSE)*$I14,0)+$J14,"")</f>
        <v>0</v>
      </c>
      <c r="L14" s="26" t="str">
        <f t="shared" si="1"/>
        <v>Blueprint Strategy</v>
      </c>
      <c r="M14" s="28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9.5" customHeight="1" spans="1:26" x14ac:dyDescent="0.25">
      <c r="A15" s="25" t="s">
        <v>31</v>
      </c>
      <c r="B15" s="35" t="s">
        <v>35</v>
      </c>
      <c r="C15" s="31">
        <f t="shared" si="0"/>
      </c>
      <c r="D15" s="36" t="s">
        <v>36</v>
      </c>
      <c r="E15" s="37">
        <v>4</v>
      </c>
      <c r="F15" s="36"/>
      <c r="G15" s="37"/>
      <c r="H15" s="27"/>
      <c r="I15" s="38"/>
      <c r="J15" s="40"/>
      <c r="K15" s="40">
        <f>IF($A15="Item",IFERROR(VLOOKUP($D15,'Rates &amp; Settings'!$A$9:$B$21,2,FALSE)*$E15,0)+IFERROR(VLOOKUP($F15,'Rates &amp; Settings'!$A$9:$B$21,2,FALSE)*$G15,0)+IFERROR(VLOOKUP($H15,'Rates &amp; Settings'!$A$9:$B$21,2,FALSE)*$I15,0)+$J15,"")</f>
        <v>0</v>
      </c>
      <c r="L15" s="26" t="str">
        <f t="shared" si="1"/>
        <v>Blueprint Strategy</v>
      </c>
      <c r="M15" s="28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8.75" customHeight="1" spans="1:26" x14ac:dyDescent="0.25">
      <c r="A16" s="25" t="s">
        <v>31</v>
      </c>
      <c r="B16" s="35" t="s">
        <v>37</v>
      </c>
      <c r="C16" s="31">
        <f t="shared" si="0"/>
      </c>
      <c r="D16" s="36" t="s">
        <v>36</v>
      </c>
      <c r="E16" s="37">
        <v>8</v>
      </c>
      <c r="F16" s="36"/>
      <c r="G16" s="37"/>
      <c r="H16" s="27"/>
      <c r="I16" s="38"/>
      <c r="J16" s="40"/>
      <c r="K16" s="40">
        <f>IF($A16="Item",IFERROR(VLOOKUP($D16,'Rates &amp; Settings'!$A$9:$B$21,2,FALSE)*$E16,0)+IFERROR(VLOOKUP($F16,'Rates &amp; Settings'!$A$9:$B$21,2,FALSE)*$G16,0)+IFERROR(VLOOKUP($H16,'Rates &amp; Settings'!$A$9:$B$21,2,FALSE)*$I16,0)+$J16,"")</f>
        <v>0</v>
      </c>
      <c r="L16" s="26" t="str">
        <f t="shared" si="1"/>
        <v>Blueprint Strategy</v>
      </c>
      <c r="M16" s="28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8.75" customHeight="1" spans="1:26" x14ac:dyDescent="0.25">
      <c r="A17" s="41" t="s">
        <v>31</v>
      </c>
      <c r="B17" s="42" t="s">
        <v>38</v>
      </c>
      <c r="C17" s="31">
        <f t="shared" si="0"/>
      </c>
      <c r="D17" s="43" t="s">
        <v>36</v>
      </c>
      <c r="E17" s="44">
        <v>3</v>
      </c>
      <c r="F17" s="43"/>
      <c r="G17" s="44"/>
      <c r="H17" s="43"/>
      <c r="I17" s="45"/>
      <c r="J17" s="46"/>
      <c r="K17" s="46">
        <f>IF($A17="Item",IFERROR(VLOOKUP($D17,'Rates &amp; Settings'!$A$9:$B$21,2,FALSE)*$E17,0)+IFERROR(VLOOKUP($F17,'Rates &amp; Settings'!$A$9:$B$21,2,FALSE)*$G17,0)+IFERROR(VLOOKUP($H17,'Rates &amp; Settings'!$A$9:$B$21,2,FALSE)*$I17,0)+$J17,"")</f>
        <v>0</v>
      </c>
      <c r="L17" s="26" t="str">
        <f t="shared" si="1"/>
        <v>Blueprint Strategy</v>
      </c>
      <c r="M17" s="28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8.75" customHeight="1" spans="1:26" x14ac:dyDescent="0.25">
      <c r="A18" s="41" t="s">
        <v>31</v>
      </c>
      <c r="B18" s="42" t="s">
        <v>39</v>
      </c>
      <c r="C18" s="31">
        <f t="shared" si="0"/>
      </c>
      <c r="D18" s="43" t="s">
        <v>36</v>
      </c>
      <c r="E18" s="44">
        <v>2</v>
      </c>
      <c r="F18" s="43"/>
      <c r="G18" s="44"/>
      <c r="H18" s="47"/>
      <c r="I18" s="45"/>
      <c r="J18" s="46"/>
      <c r="K18" s="46">
        <f>IF($A18="Item",IFERROR(VLOOKUP($D18,'Rates &amp; Settings'!$A$9:$B$21,2,FALSE)*$E18,0)+IFERROR(VLOOKUP($F18,'Rates &amp; Settings'!$A$9:$B$21,2,FALSE)*$G18,0)+IFERROR(VLOOKUP($H18,'Rates &amp; Settings'!$A$9:$B$21,2,FALSE)*$I18,0)+$J18,"")</f>
        <v>0</v>
      </c>
      <c r="L18" s="26" t="str">
        <f t="shared" si="1"/>
        <v>Blueprint Strategy</v>
      </c>
      <c r="M18" s="28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8.75" customHeight="1" spans="1:26" x14ac:dyDescent="0.25">
      <c r="A19" s="25" t="s">
        <v>31</v>
      </c>
      <c r="B19" s="35" t="s">
        <v>40</v>
      </c>
      <c r="C19" s="31">
        <f t="shared" si="0"/>
      </c>
      <c r="D19" s="36" t="s">
        <v>33</v>
      </c>
      <c r="E19" s="37">
        <v>2</v>
      </c>
      <c r="F19" s="27"/>
      <c r="G19" s="38"/>
      <c r="H19" s="27"/>
      <c r="I19" s="38"/>
      <c r="J19" s="40"/>
      <c r="K19" s="40">
        <f>IF($A19="Item",IFERROR(VLOOKUP($D19,'Rates &amp; Settings'!$A$9:$B$21,2,FALSE)*$E19,0)+IFERROR(VLOOKUP($F19,'Rates &amp; Settings'!$A$9:$B$21,2,FALSE)*$G19,0)+IFERROR(VLOOKUP($H19,'Rates &amp; Settings'!$A$9:$B$21,2,FALSE)*$I19,0)+$J19,"")</f>
        <v>0</v>
      </c>
      <c r="L19" s="26" t="str">
        <f t="shared" si="1"/>
        <v>Blueprint Strategy</v>
      </c>
      <c r="M19" s="28"/>
      <c r="N19" s="26"/>
      <c r="O19" s="26">
        <f>(4*270)+(4*230)</f>
        <v>2000</v>
      </c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8.75" customHeight="1" spans="1:26" x14ac:dyDescent="0.25">
      <c r="A20" s="41" t="s">
        <v>41</v>
      </c>
      <c r="B20" s="26"/>
      <c r="C20" s="31">
        <f t="shared" si="0"/>
      </c>
      <c r="D20" s="27"/>
      <c r="E20" s="38"/>
      <c r="F20" s="27"/>
      <c r="G20" s="38"/>
      <c r="H20" s="27"/>
      <c r="I20" s="38"/>
      <c r="J20" s="40"/>
      <c r="K20" s="40">
        <f>IF($A20="Item",IFERROR(VLOOKUP($D20,'Rates &amp; Settings'!$A$9:$B$21,2,FALSE)*$E20,0)+IFERROR(VLOOKUP($F20,'Rates &amp; Settings'!$A$9:$B$21,2,FALSE)*$G20,0)+IFERROR(VLOOKUP($H20,'Rates &amp; Settings'!$A$9:$B$21,2,FALSE)*$I20,0)+$J20,"")</f>
      </c>
      <c r="L20" s="26">
        <f t="shared" si="1"/>
      </c>
      <c r="M20" s="28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8.75" customHeight="1" spans="1:26" x14ac:dyDescent="0.25">
      <c r="A21" s="41" t="s">
        <v>29</v>
      </c>
      <c r="B21" s="35" t="s">
        <v>42</v>
      </c>
      <c r="C21" s="31">
        <f t="shared" si="0"/>
        <v>0</v>
      </c>
      <c r="D21" s="27"/>
      <c r="E21" s="38"/>
      <c r="F21" s="27"/>
      <c r="G21" s="38"/>
      <c r="H21" s="27"/>
      <c r="I21" s="38"/>
      <c r="J21" s="40"/>
      <c r="K21" s="40">
        <f>IF($A21="Item",IFERROR(VLOOKUP($D21,'Rates &amp; Settings'!$A$9:$B$21,2,FALSE)*$E21,0)+IFERROR(VLOOKUP($F21,'Rates &amp; Settings'!$A$9:$B$21,2,FALSE)*$G21,0)+IFERROR(VLOOKUP($H21,'Rates &amp; Settings'!$A$9:$B$21,2,FALSE)*$I21,0)+$J21,"")</f>
      </c>
      <c r="L21" s="26" t="str">
        <f t="shared" si="1"/>
        <v>Design</v>
      </c>
      <c r="M21" s="28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8.75" customHeight="1" spans="1:26" x14ac:dyDescent="0.25">
      <c r="A22" s="25" t="s">
        <v>31</v>
      </c>
      <c r="B22" s="35" t="s">
        <v>43</v>
      </c>
      <c r="C22" s="31">
        <f t="shared" si="0"/>
      </c>
      <c r="D22" s="36" t="s">
        <v>44</v>
      </c>
      <c r="E22" s="37">
        <v>10</v>
      </c>
      <c r="F22" s="27"/>
      <c r="G22" s="38"/>
      <c r="H22" s="27"/>
      <c r="I22" s="38"/>
      <c r="J22" s="40"/>
      <c r="K22" s="40">
        <f>IF($A22="Item",IFERROR(VLOOKUP($D22,'Rates &amp; Settings'!$A$9:$B$21,2,FALSE)*$E22,0)+IFERROR(VLOOKUP($F22,'Rates &amp; Settings'!$A$9:$B$21,2,FALSE)*$G22,0)+IFERROR(VLOOKUP($H22,'Rates &amp; Settings'!$A$9:$B$21,2,FALSE)*$I22,0)+$J22,"")</f>
        <v>0</v>
      </c>
      <c r="L22" s="26" t="str">
        <f t="shared" si="1"/>
        <v>Design</v>
      </c>
      <c r="M22" s="28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8.75" customHeight="1" spans="1:26" x14ac:dyDescent="0.25">
      <c r="A23" s="25" t="s">
        <v>31</v>
      </c>
      <c r="B23" s="35" t="s">
        <v>45</v>
      </c>
      <c r="C23" s="31">
        <f t="shared" si="0"/>
      </c>
      <c r="D23" s="36" t="s">
        <v>44</v>
      </c>
      <c r="E23" s="37">
        <v>3</v>
      </c>
      <c r="F23" s="27"/>
      <c r="G23" s="38"/>
      <c r="H23" s="27"/>
      <c r="I23" s="38"/>
      <c r="J23" s="40"/>
      <c r="K23" s="40">
        <f>IF($A23="Item",IFERROR(VLOOKUP($D23,'Rates &amp; Settings'!$A$9:$B$21,2,FALSE)*$E23,0)+IFERROR(VLOOKUP($F23,'Rates &amp; Settings'!$A$9:$B$21,2,FALSE)*$G23,0)+IFERROR(VLOOKUP($H23,'Rates &amp; Settings'!$A$9:$B$21,2,FALSE)*$I23,0)+$J23,"")</f>
        <v>0</v>
      </c>
      <c r="L23" s="26" t="str">
        <f t="shared" si="1"/>
        <v>Design</v>
      </c>
      <c r="M23" s="28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8.75" customHeight="1" spans="1:26" x14ac:dyDescent="0.25">
      <c r="A24" s="25" t="s">
        <v>31</v>
      </c>
      <c r="B24" s="35" t="s">
        <v>46</v>
      </c>
      <c r="C24" s="31">
        <f t="shared" si="0"/>
      </c>
      <c r="D24" s="36" t="s">
        <v>44</v>
      </c>
      <c r="E24" s="37">
        <v>5</v>
      </c>
      <c r="F24" s="27"/>
      <c r="G24" s="38"/>
      <c r="H24" s="27"/>
      <c r="I24" s="38"/>
      <c r="J24" s="40"/>
      <c r="K24" s="40">
        <f>IF($A24="Item",IFERROR(VLOOKUP($D24,'Rates &amp; Settings'!$A$9:$B$21,2,FALSE)*$E24,0)+IFERROR(VLOOKUP($F24,'Rates &amp; Settings'!$A$9:$B$21,2,FALSE)*$G24,0)+IFERROR(VLOOKUP($H24,'Rates &amp; Settings'!$A$9:$B$21,2,FALSE)*$I24,0)+$J24,"")</f>
        <v>0</v>
      </c>
      <c r="L24" s="26" t="str">
        <f t="shared" si="1"/>
        <v>Design</v>
      </c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8.75" customHeight="1" spans="1:26" x14ac:dyDescent="0.25">
      <c r="A25" s="25" t="s">
        <v>31</v>
      </c>
      <c r="B25" s="35" t="s">
        <v>47</v>
      </c>
      <c r="C25" s="31">
        <f t="shared" si="0"/>
      </c>
      <c r="D25" s="36" t="s">
        <v>44</v>
      </c>
      <c r="E25" s="37">
        <v>5</v>
      </c>
      <c r="F25" s="27"/>
      <c r="G25" s="38"/>
      <c r="H25" s="27"/>
      <c r="I25" s="38"/>
      <c r="J25" s="40"/>
      <c r="K25" s="40">
        <f>IF($A25="Item",IFERROR(VLOOKUP($D25,'Rates &amp; Settings'!$A$9:$B$21,2,FALSE)*$E25,0)+IFERROR(VLOOKUP($F25,'Rates &amp; Settings'!$A$9:$B$21,2,FALSE)*$G25,0)+IFERROR(VLOOKUP($H25,'Rates &amp; Settings'!$A$9:$B$21,2,FALSE)*$I25,0)+$J25,"")</f>
        <v>0</v>
      </c>
      <c r="L25" s="26" t="str">
        <f t="shared" si="1"/>
        <v>Design</v>
      </c>
      <c r="M25" s="28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8.75" customHeight="1" spans="1:26" x14ac:dyDescent="0.25">
      <c r="A26" s="41" t="s">
        <v>31</v>
      </c>
      <c r="B26" s="42" t="s">
        <v>48</v>
      </c>
      <c r="C26" s="31">
        <f t="shared" si="0"/>
      </c>
      <c r="D26" s="36" t="s">
        <v>44</v>
      </c>
      <c r="E26" s="44">
        <v>7</v>
      </c>
      <c r="F26" s="47"/>
      <c r="G26" s="45"/>
      <c r="H26" s="47"/>
      <c r="I26" s="45"/>
      <c r="J26" s="46"/>
      <c r="K26" s="46">
        <f>IF($A26="Item",IFERROR(VLOOKUP($D26,'Rates &amp; Settings'!$A$9:$B$21,2,FALSE)*$E26,0)+IFERROR(VLOOKUP($F26,'Rates &amp; Settings'!$A$9:$B$21,2,FALSE)*$G26,0)+IFERROR(VLOOKUP($H26,'Rates &amp; Settings'!$A$9:$B$21,2,FALSE)*$I26,0)+$J26,"")</f>
        <v>0</v>
      </c>
      <c r="L26" s="26" t="str">
        <f t="shared" si="1"/>
        <v>Design</v>
      </c>
      <c r="M26" s="2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8.75" customHeight="1" spans="1:26" x14ac:dyDescent="0.25">
      <c r="A27" s="41" t="s">
        <v>31</v>
      </c>
      <c r="B27" s="42" t="s">
        <v>49</v>
      </c>
      <c r="C27" s="31">
        <f t="shared" si="0"/>
      </c>
      <c r="D27" s="36" t="s">
        <v>44</v>
      </c>
      <c r="E27" s="44">
        <v>6</v>
      </c>
      <c r="F27" s="47"/>
      <c r="G27" s="45"/>
      <c r="H27" s="47"/>
      <c r="I27" s="45"/>
      <c r="J27" s="46"/>
      <c r="K27" s="46">
        <f>IF($A27="Item",IFERROR(VLOOKUP($D27,'Rates &amp; Settings'!$A$9:$B$21,2,FALSE)*$E27,0)+IFERROR(VLOOKUP($F27,'Rates &amp; Settings'!$A$9:$B$21,2,FALSE)*$G27,0)+IFERROR(VLOOKUP($H27,'Rates &amp; Settings'!$A$9:$B$21,2,FALSE)*$I27,0)+$J27,"")</f>
        <v>0</v>
      </c>
      <c r="L27" s="26" t="str">
        <f t="shared" si="1"/>
        <v>Design</v>
      </c>
      <c r="M27" s="28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8.75" customHeight="1" spans="1:26" x14ac:dyDescent="0.25">
      <c r="A28" s="41" t="s">
        <v>31</v>
      </c>
      <c r="B28" s="35" t="s">
        <v>50</v>
      </c>
      <c r="C28" s="31">
        <f t="shared" si="0"/>
      </c>
      <c r="D28" s="36" t="s">
        <v>44</v>
      </c>
      <c r="E28" s="37">
        <v>3</v>
      </c>
      <c r="F28" s="27"/>
      <c r="G28" s="38"/>
      <c r="H28" s="27"/>
      <c r="I28" s="38"/>
      <c r="J28" s="40"/>
      <c r="K28" s="40">
        <f>IF($A28="Item",IFERROR(VLOOKUP($D28,'Rates &amp; Settings'!$A$9:$B$21,2,FALSE)*$E28,0)+IFERROR(VLOOKUP($F28,'Rates &amp; Settings'!$A$9:$B$21,2,FALSE)*$G28,0)+IFERROR(VLOOKUP($H28,'Rates &amp; Settings'!$A$9:$B$21,2,FALSE)*$I28,0)+$J28,"")</f>
        <v>0</v>
      </c>
      <c r="L28" s="26" t="str">
        <f t="shared" si="1"/>
        <v>Design</v>
      </c>
      <c r="M28" s="28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8.75" customHeight="1" spans="1:26" x14ac:dyDescent="0.25">
      <c r="A29" s="41" t="s">
        <v>31</v>
      </c>
      <c r="B29" s="42" t="s">
        <v>51</v>
      </c>
      <c r="C29" s="31">
        <f t="shared" si="0"/>
      </c>
      <c r="D29" s="36" t="s">
        <v>44</v>
      </c>
      <c r="E29" s="44">
        <v>7</v>
      </c>
      <c r="F29" s="47"/>
      <c r="G29" s="45"/>
      <c r="H29" s="47"/>
      <c r="I29" s="45"/>
      <c r="J29" s="46"/>
      <c r="K29" s="46">
        <f>IF($A29="Item",IFERROR(VLOOKUP($D29,'Rates &amp; Settings'!$A$9:$B$21,2,FALSE)*$E29,0)+IFERROR(VLOOKUP($F29,'Rates &amp; Settings'!$A$9:$B$21,2,FALSE)*$G29,0)+IFERROR(VLOOKUP($H29,'Rates &amp; Settings'!$A$9:$B$21,2,FALSE)*$I29,0)+$J29,"")</f>
        <v>0</v>
      </c>
      <c r="L29" s="26" t="str">
        <f t="shared" si="1"/>
        <v>Design</v>
      </c>
      <c r="M29" s="28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8.75" customHeight="1" spans="1:26" x14ac:dyDescent="0.25">
      <c r="A30" s="41" t="s">
        <v>31</v>
      </c>
      <c r="B30" s="42"/>
      <c r="C30" s="31">
        <f t="shared" si="0"/>
      </c>
      <c r="D30" s="36"/>
      <c r="E30" s="44"/>
      <c r="F30" s="43"/>
      <c r="G30" s="44"/>
      <c r="H30" s="47"/>
      <c r="I30" s="45"/>
      <c r="J30" s="46"/>
      <c r="K30" s="46">
        <f>IF($A30="Item",IFERROR(VLOOKUP($D30,'Rates &amp; Settings'!$A$9:$B$21,2,FALSE)*$E30,0)+IFERROR(VLOOKUP($F30,'Rates &amp; Settings'!$A$9:$B$21,2,FALSE)*$G30,0)+IFERROR(VLOOKUP($H30,'Rates &amp; Settings'!$A$9:$B$21,2,FALSE)*$I30,0)+$J30,"")</f>
        <v>0</v>
      </c>
      <c r="L30" s="26" t="str">
        <f t="shared" si="1"/>
        <v>Design</v>
      </c>
      <c r="M30" s="2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8.75" customHeight="1" spans="1:26" x14ac:dyDescent="0.25">
      <c r="A31" s="41" t="s">
        <v>31</v>
      </c>
      <c r="B31" s="35"/>
      <c r="C31" s="31">
        <f t="shared" si="0"/>
      </c>
      <c r="D31" s="36"/>
      <c r="E31" s="37"/>
      <c r="F31" s="27"/>
      <c r="G31" s="38"/>
      <c r="H31" s="27"/>
      <c r="I31" s="38"/>
      <c r="J31" s="40"/>
      <c r="K31" s="40">
        <f>IF($A31="Item",IFERROR(VLOOKUP($D31,'Rates &amp; Settings'!$A$9:$B$21,2,FALSE)*$E31,0)+IFERROR(VLOOKUP($F31,'Rates &amp; Settings'!$A$9:$B$21,2,FALSE)*$G31,0)+IFERROR(VLOOKUP($H31,'Rates &amp; Settings'!$A$9:$B$21,2,FALSE)*$I31,0)+$J31,"")</f>
        <v>0</v>
      </c>
      <c r="L31" s="26" t="str">
        <f t="shared" si="1"/>
        <v>Design</v>
      </c>
      <c r="M31" s="28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8.75" customHeight="1" spans="1:26" x14ac:dyDescent="0.25">
      <c r="A32" s="41" t="s">
        <v>41</v>
      </c>
      <c r="B32" s="26"/>
      <c r="C32" s="31">
        <f t="shared" si="0"/>
      </c>
      <c r="D32" s="27"/>
      <c r="E32" s="38"/>
      <c r="F32" s="27"/>
      <c r="G32" s="38"/>
      <c r="H32" s="27"/>
      <c r="I32" s="38"/>
      <c r="J32" s="40"/>
      <c r="K32" s="40">
        <f>IF($A32="Item",IFERROR(VLOOKUP($D32,'Rates &amp; Settings'!$A$9:$B$21,2,FALSE)*$E32,0)+IFERROR(VLOOKUP($F32,'Rates &amp; Settings'!$A$9:$B$21,2,FALSE)*$G32,0)+IFERROR(VLOOKUP($H32,'Rates &amp; Settings'!$A$9:$B$21,2,FALSE)*$I32,0)+$J32,"")</f>
      </c>
      <c r="L32" s="26">
        <f t="shared" si="1"/>
      </c>
      <c r="M32" s="28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8.75" customHeight="1" spans="1:26" x14ac:dyDescent="0.25">
      <c r="A33" s="41" t="s">
        <v>29</v>
      </c>
      <c r="B33" s="35" t="s">
        <v>52</v>
      </c>
      <c r="C33" s="31">
        <f t="shared" si="0"/>
        <v>0</v>
      </c>
      <c r="D33" s="36"/>
      <c r="E33" s="38"/>
      <c r="F33" s="27"/>
      <c r="G33" s="38"/>
      <c r="H33" s="27"/>
      <c r="I33" s="38"/>
      <c r="J33" s="40"/>
      <c r="K33" s="40">
        <f>IF($A33="Item",IFERROR(VLOOKUP($D33,'Rates &amp; Settings'!$A$9:$B$21,2,FALSE)*$E33,0)+IFERROR(VLOOKUP($F33,'Rates &amp; Settings'!$A$9:$B$21,2,FALSE)*$G33,0)+IFERROR(VLOOKUP($H33,'Rates &amp; Settings'!$A$9:$B$21,2,FALSE)*$I33,0)+$J33,"")</f>
      </c>
      <c r="L33" s="26" t="str">
        <f t="shared" si="1"/>
        <v>Development</v>
      </c>
      <c r="M33" s="28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8.75" customHeight="1" spans="1:26" x14ac:dyDescent="0.25">
      <c r="A34" s="41" t="s">
        <v>31</v>
      </c>
      <c r="B34" s="35" t="s">
        <v>53</v>
      </c>
      <c r="C34" s="31">
        <f t="shared" si="0"/>
      </c>
      <c r="D34" s="36" t="s">
        <v>52</v>
      </c>
      <c r="E34" s="37">
        <v>2</v>
      </c>
      <c r="F34" s="27"/>
      <c r="G34" s="38"/>
      <c r="H34" s="27"/>
      <c r="I34" s="38"/>
      <c r="J34" s="40"/>
      <c r="K34" s="40">
        <f>IF($A34="Item",IFERROR(VLOOKUP($D34,'Rates &amp; Settings'!$A$9:$B$21,2,FALSE)*$E34,0)+IFERROR(VLOOKUP($F34,'Rates &amp; Settings'!$A$9:$B$21,2,FALSE)*$G34,0)+IFERROR(VLOOKUP($H34,'Rates &amp; Settings'!$A$9:$B$21,2,FALSE)*$I34,0)+$J34,"")</f>
        <v>0</v>
      </c>
      <c r="L34" s="26" t="str">
        <f t="shared" si="1"/>
        <v>Development</v>
      </c>
      <c r="M34" s="28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8.75" customHeight="1" spans="1:26" x14ac:dyDescent="0.25">
      <c r="A35" s="41" t="s">
        <v>31</v>
      </c>
      <c r="B35" s="35" t="s">
        <v>54</v>
      </c>
      <c r="C35" s="31">
        <f t="shared" si="0"/>
      </c>
      <c r="D35" s="36" t="s">
        <v>52</v>
      </c>
      <c r="E35" s="37">
        <v>6</v>
      </c>
      <c r="F35" s="27"/>
      <c r="G35" s="38"/>
      <c r="H35" s="27"/>
      <c r="I35" s="38"/>
      <c r="J35" s="40"/>
      <c r="K35" s="40">
        <f>IF($A35="Item",IFERROR(VLOOKUP($D35,'Rates &amp; Settings'!$A$9:$B$21,2,FALSE)*$E35,0)+IFERROR(VLOOKUP($F35,'Rates &amp; Settings'!$A$9:$B$21,2,FALSE)*$G35,0)+IFERROR(VLOOKUP($H35,'Rates &amp; Settings'!$A$9:$B$21,2,FALSE)*$I35,0)+$J35,"")</f>
        <v>0</v>
      </c>
      <c r="L35" s="26" t="str">
        <f t="shared" si="1"/>
        <v>Development</v>
      </c>
      <c r="M35" s="28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8.75" customHeight="1" spans="1:26" x14ac:dyDescent="0.25">
      <c r="A36" s="41" t="s">
        <v>31</v>
      </c>
      <c r="B36" s="35" t="s">
        <v>55</v>
      </c>
      <c r="C36" s="31">
        <f t="shared" si="0"/>
      </c>
      <c r="D36" s="36" t="s">
        <v>52</v>
      </c>
      <c r="E36" s="37">
        <v>4</v>
      </c>
      <c r="F36" s="27"/>
      <c r="G36" s="38"/>
      <c r="H36" s="27"/>
      <c r="I36" s="38"/>
      <c r="J36" s="40"/>
      <c r="K36" s="40">
        <f>IF($A36="Item",IFERROR(VLOOKUP($D36,'Rates &amp; Settings'!$A$9:$B$21,2,FALSE)*$E36,0)+IFERROR(VLOOKUP($F36,'Rates &amp; Settings'!$A$9:$B$21,2,FALSE)*$G36,0)+IFERROR(VLOOKUP($H36,'Rates &amp; Settings'!$A$9:$B$21,2,FALSE)*$I36,0)+$J36,"")</f>
        <v>0</v>
      </c>
      <c r="L36" s="26" t="str">
        <f t="shared" si="1"/>
        <v>Development</v>
      </c>
      <c r="M36" s="28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8.75" customHeight="1" spans="1:26" x14ac:dyDescent="0.25">
      <c r="A37" s="41" t="s">
        <v>31</v>
      </c>
      <c r="B37" s="35" t="s">
        <v>56</v>
      </c>
      <c r="C37" s="31">
        <f t="shared" si="0"/>
      </c>
      <c r="D37" s="36" t="s">
        <v>52</v>
      </c>
      <c r="E37" s="37">
        <v>8</v>
      </c>
      <c r="F37" s="27"/>
      <c r="G37" s="38"/>
      <c r="H37" s="27"/>
      <c r="I37" s="38"/>
      <c r="J37" s="40"/>
      <c r="K37" s="40">
        <f>IF($A37="Item",IFERROR(VLOOKUP($D37,'Rates &amp; Settings'!$A$9:$B$21,2,FALSE)*$E37,0)+IFERROR(VLOOKUP($F37,'Rates &amp; Settings'!$A$9:$B$21,2,FALSE)*$G37,0)+IFERROR(VLOOKUP($H37,'Rates &amp; Settings'!$A$9:$B$21,2,FALSE)*$I37,0)+$J37,"")</f>
        <v>0</v>
      </c>
      <c r="L37" s="26" t="str">
        <f t="shared" si="1"/>
        <v>Development</v>
      </c>
      <c r="M37" s="28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8.75" customHeight="1" spans="1:26" x14ac:dyDescent="0.25">
      <c r="A38" s="41" t="s">
        <v>31</v>
      </c>
      <c r="B38" s="35" t="s">
        <v>57</v>
      </c>
      <c r="C38" s="31">
        <f t="shared" si="0"/>
      </c>
      <c r="D38" s="36" t="s">
        <v>52</v>
      </c>
      <c r="E38" s="37">
        <v>10</v>
      </c>
      <c r="F38" s="27"/>
      <c r="G38" s="38"/>
      <c r="H38" s="27"/>
      <c r="I38" s="38"/>
      <c r="J38" s="40"/>
      <c r="K38" s="40">
        <f>IF($A38="Item",IFERROR(VLOOKUP($D38,'Rates &amp; Settings'!$A$9:$B$21,2,FALSE)*$E38,0)+IFERROR(VLOOKUP($F38,'Rates &amp; Settings'!$A$9:$B$21,2,FALSE)*$G38,0)+IFERROR(VLOOKUP($H38,'Rates &amp; Settings'!$A$9:$B$21,2,FALSE)*$I38,0)+$J38,"")</f>
        <v>0</v>
      </c>
      <c r="L38" s="26" t="str">
        <f t="shared" si="1"/>
        <v>Development</v>
      </c>
      <c r="M38" s="28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8.75" customHeight="1" spans="1:26" x14ac:dyDescent="0.25">
      <c r="A39" s="41" t="s">
        <v>31</v>
      </c>
      <c r="B39" s="35" t="s">
        <v>58</v>
      </c>
      <c r="C39" s="31">
        <f t="shared" si="0"/>
      </c>
      <c r="D39" s="36" t="s">
        <v>52</v>
      </c>
      <c r="E39" s="37">
        <v>6</v>
      </c>
      <c r="F39" s="36"/>
      <c r="G39" s="37"/>
      <c r="H39" s="27"/>
      <c r="I39" s="38"/>
      <c r="J39" s="40"/>
      <c r="K39" s="40">
        <f>IF($A39="Item",IFERROR(VLOOKUP($D39,'Rates &amp; Settings'!$A$9:$B$21,2,FALSE)*$E39,0)+IFERROR(VLOOKUP($F39,'Rates &amp; Settings'!$A$9:$B$21,2,FALSE)*$G39,0)+IFERROR(VLOOKUP($H39,'Rates &amp; Settings'!$A$9:$B$21,2,FALSE)*$I39,0)+$J39,"")</f>
        <v>0</v>
      </c>
      <c r="L39" s="26" t="str">
        <f t="shared" si="1"/>
        <v>Development</v>
      </c>
      <c r="M39" s="28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8.75" customHeight="1" spans="1:26" x14ac:dyDescent="0.25">
      <c r="A40" s="41" t="s">
        <v>31</v>
      </c>
      <c r="B40" s="35" t="s">
        <v>59</v>
      </c>
      <c r="C40" s="31">
        <f t="shared" si="0"/>
      </c>
      <c r="D40" s="36" t="s">
        <v>52</v>
      </c>
      <c r="E40" s="37">
        <v>3</v>
      </c>
      <c r="F40" s="27"/>
      <c r="G40" s="38"/>
      <c r="H40" s="27"/>
      <c r="I40" s="38"/>
      <c r="J40" s="40"/>
      <c r="K40" s="40">
        <f>IF($A40="Item",IFERROR(VLOOKUP($D40,'Rates &amp; Settings'!$A$9:$B$21,2,FALSE)*$E40,0)+IFERROR(VLOOKUP($F40,'Rates &amp; Settings'!$A$9:$B$21,2,FALSE)*$G40,0)+IFERROR(VLOOKUP($H40,'Rates &amp; Settings'!$A$9:$B$21,2,FALSE)*$I40,0)+$J40,"")</f>
        <v>0</v>
      </c>
      <c r="L40" s="26" t="str">
        <f t="shared" si="1"/>
        <v>Development</v>
      </c>
      <c r="M40" s="28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8.75" customHeight="1" spans="1:26" x14ac:dyDescent="0.25">
      <c r="A41" s="41" t="s">
        <v>31</v>
      </c>
      <c r="B41" s="35" t="s">
        <v>60</v>
      </c>
      <c r="C41" s="31">
        <f t="shared" si="0"/>
      </c>
      <c r="D41" s="36" t="s">
        <v>52</v>
      </c>
      <c r="E41" s="37">
        <v>3</v>
      </c>
      <c r="F41" s="27"/>
      <c r="G41" s="38"/>
      <c r="H41" s="27"/>
      <c r="I41" s="38"/>
      <c r="J41" s="40"/>
      <c r="K41" s="40">
        <f>IF($A41="Item",IFERROR(VLOOKUP($D41,'Rates &amp; Settings'!$A$9:$B$21,2,FALSE)*$E41,0)+IFERROR(VLOOKUP($F41,'Rates &amp; Settings'!$A$9:$B$21,2,FALSE)*$G41,0)+IFERROR(VLOOKUP($H41,'Rates &amp; Settings'!$A$9:$B$21,2,FALSE)*$I41,0)+$J41,"")</f>
        <v>0</v>
      </c>
      <c r="L41" s="26" t="str">
        <f t="shared" si="1"/>
        <v>Development</v>
      </c>
      <c r="M41" s="28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8.75" customHeight="1" spans="1:26" x14ac:dyDescent="0.25">
      <c r="A42" s="41" t="s">
        <v>31</v>
      </c>
      <c r="B42" s="35" t="s">
        <v>61</v>
      </c>
      <c r="C42" s="31">
        <f t="shared" si="0"/>
      </c>
      <c r="D42" s="36" t="s">
        <v>52</v>
      </c>
      <c r="E42" s="37">
        <v>2</v>
      </c>
      <c r="F42" s="27"/>
      <c r="G42" s="38"/>
      <c r="H42" s="27"/>
      <c r="I42" s="38"/>
      <c r="J42" s="40"/>
      <c r="K42" s="40">
        <f>IF($A42="Item",IFERROR(VLOOKUP($D42,'Rates &amp; Settings'!$A$9:$B$21,2,FALSE)*$E42,0)+IFERROR(VLOOKUP($F42,'Rates &amp; Settings'!$A$9:$B$21,2,FALSE)*$G42,0)+IFERROR(VLOOKUP($H42,'Rates &amp; Settings'!$A$9:$B$21,2,FALSE)*$I42,0)+$J42,"")</f>
        <v>0</v>
      </c>
      <c r="L42" s="26" t="str">
        <f t="shared" si="1"/>
        <v>Development</v>
      </c>
      <c r="M42" s="28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8.75" customHeight="1" spans="1:26" x14ac:dyDescent="0.25">
      <c r="A43" s="41" t="s">
        <v>31</v>
      </c>
      <c r="B43" s="35" t="s">
        <v>62</v>
      </c>
      <c r="C43" s="31">
        <f t="shared" si="0"/>
      </c>
      <c r="D43" s="36" t="s">
        <v>52</v>
      </c>
      <c r="E43" s="37">
        <v>2</v>
      </c>
      <c r="F43" s="27"/>
      <c r="G43" s="38"/>
      <c r="H43" s="27"/>
      <c r="I43" s="38"/>
      <c r="J43" s="40"/>
      <c r="K43" s="40">
        <f>IF($A43="Item",IFERROR(VLOOKUP($D43,'Rates &amp; Settings'!$A$9:$B$21,2,FALSE)*$E43,0)+IFERROR(VLOOKUP($F43,'Rates &amp; Settings'!$A$9:$B$21,2,FALSE)*$G43,0)+IFERROR(VLOOKUP($H43,'Rates &amp; Settings'!$A$9:$B$21,2,FALSE)*$I43,0)+$J43,"")</f>
        <v>0</v>
      </c>
      <c r="L43" s="26" t="str">
        <f t="shared" si="1"/>
        <v>Development</v>
      </c>
      <c r="M43" s="28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8.75" customHeight="1" spans="1:26" x14ac:dyDescent="0.25">
      <c r="A44" s="41" t="s">
        <v>31</v>
      </c>
      <c r="B44" s="35" t="s">
        <v>63</v>
      </c>
      <c r="C44" s="31">
        <f t="shared" si="0"/>
      </c>
      <c r="D44" s="36" t="s">
        <v>52</v>
      </c>
      <c r="E44" s="37">
        <v>4</v>
      </c>
      <c r="F44" s="27"/>
      <c r="G44" s="38"/>
      <c r="H44" s="27"/>
      <c r="I44" s="38"/>
      <c r="J44" s="40"/>
      <c r="K44" s="40">
        <f>IF($A44="Item",IFERROR(VLOOKUP($D44,'Rates &amp; Settings'!$A$9:$B$21,2,FALSE)*$E44,0)+IFERROR(VLOOKUP($F44,'Rates &amp; Settings'!$A$9:$B$21,2,FALSE)*$G44,0)+IFERROR(VLOOKUP($H44,'Rates &amp; Settings'!$A$9:$B$21,2,FALSE)*$I44,0)+$J44,"")</f>
        <v>0</v>
      </c>
      <c r="L44" s="26" t="str">
        <f t="shared" si="1"/>
        <v>Development</v>
      </c>
      <c r="M44" s="28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8.75" customHeight="1" spans="1:26" x14ac:dyDescent="0.25">
      <c r="A45" s="41" t="s">
        <v>31</v>
      </c>
      <c r="B45" s="35" t="s">
        <v>64</v>
      </c>
      <c r="C45" s="31">
        <f t="shared" si="0"/>
      </c>
      <c r="D45" s="36" t="s">
        <v>52</v>
      </c>
      <c r="E45" s="37">
        <v>4</v>
      </c>
      <c r="F45" s="27"/>
      <c r="G45" s="38"/>
      <c r="H45" s="27"/>
      <c r="I45" s="38"/>
      <c r="J45" s="40"/>
      <c r="K45" s="40">
        <f>IF($A45="Item",IFERROR(VLOOKUP($D45,'Rates &amp; Settings'!$A$9:$B$21,2,FALSE)*$E45,0)+IFERROR(VLOOKUP($F45,'Rates &amp; Settings'!$A$9:$B$21,2,FALSE)*$G45,0)+IFERROR(VLOOKUP($H45,'Rates &amp; Settings'!$A$9:$B$21,2,FALSE)*$I45,0)+$J45,"")</f>
        <v>0</v>
      </c>
      <c r="L45" s="26" t="str">
        <f t="shared" si="1"/>
        <v>Development</v>
      </c>
      <c r="M45" s="28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8.75" customHeight="1" spans="1:26" x14ac:dyDescent="0.25">
      <c r="A46" s="41" t="s">
        <v>31</v>
      </c>
      <c r="B46" s="35" t="s">
        <v>65</v>
      </c>
      <c r="C46" s="31">
        <f t="shared" si="0"/>
      </c>
      <c r="D46" s="36" t="s">
        <v>52</v>
      </c>
      <c r="E46" s="37">
        <v>6</v>
      </c>
      <c r="F46" s="27"/>
      <c r="G46" s="38"/>
      <c r="H46" s="27"/>
      <c r="I46" s="38"/>
      <c r="J46" s="40"/>
      <c r="K46" s="40">
        <f>IF($A46="Item",IFERROR(VLOOKUP($D46,'Rates &amp; Settings'!$A$9:$B$21,2,FALSE)*$E46,0)+IFERROR(VLOOKUP($F46,'Rates &amp; Settings'!$A$9:$B$21,2,FALSE)*$G46,0)+IFERROR(VLOOKUP($H46,'Rates &amp; Settings'!$A$9:$B$21,2,FALSE)*$I46,0)+$J46,"")</f>
        <v>0</v>
      </c>
      <c r="L46" s="26" t="str">
        <f t="shared" si="1"/>
        <v>Development</v>
      </c>
      <c r="M46" s="28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8.75" customHeight="1" spans="1:26" x14ac:dyDescent="0.25">
      <c r="A47" s="41" t="s">
        <v>31</v>
      </c>
      <c r="B47" s="35" t="s">
        <v>66</v>
      </c>
      <c r="C47" s="31">
        <f t="shared" si="0"/>
      </c>
      <c r="D47" s="36" t="s">
        <v>52</v>
      </c>
      <c r="E47" s="37">
        <v>6</v>
      </c>
      <c r="F47" s="27"/>
      <c r="G47" s="38"/>
      <c r="H47" s="27"/>
      <c r="I47" s="38"/>
      <c r="J47" s="40"/>
      <c r="K47" s="40">
        <f>IF($A47="Item",IFERROR(VLOOKUP($D47,'Rates &amp; Settings'!$A$9:$B$21,2,FALSE)*$E47,0)+IFERROR(VLOOKUP($F47,'Rates &amp; Settings'!$A$9:$B$21,2,FALSE)*$G47,0)+IFERROR(VLOOKUP($H47,'Rates &amp; Settings'!$A$9:$B$21,2,FALSE)*$I47,0)+$J47,"")</f>
        <v>0</v>
      </c>
      <c r="L47" s="26" t="str">
        <f t="shared" si="1"/>
        <v>Development</v>
      </c>
      <c r="M47" s="28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8.75" customHeight="1" spans="1:26" x14ac:dyDescent="0.25">
      <c r="A48" s="41" t="s">
        <v>31</v>
      </c>
      <c r="B48" s="35" t="s">
        <v>67</v>
      </c>
      <c r="C48" s="31">
        <f t="shared" si="0"/>
      </c>
      <c r="D48" s="36" t="s">
        <v>52</v>
      </c>
      <c r="E48" s="37">
        <v>5</v>
      </c>
      <c r="F48" s="27"/>
      <c r="G48" s="38"/>
      <c r="H48" s="27"/>
      <c r="I48" s="38"/>
      <c r="J48" s="40"/>
      <c r="K48" s="40">
        <f>IF($A48="Item",IFERROR(VLOOKUP($D48,'Rates &amp; Settings'!$A$9:$B$21,2,FALSE)*$E48,0)+IFERROR(VLOOKUP($F48,'Rates &amp; Settings'!$A$9:$B$21,2,FALSE)*$G48,0)+IFERROR(VLOOKUP($H48,'Rates &amp; Settings'!$A$9:$B$21,2,FALSE)*$I48,0)+$J48,"")</f>
        <v>0</v>
      </c>
      <c r="L48" s="26" t="str">
        <f t="shared" si="1"/>
        <v>Development</v>
      </c>
      <c r="M48" s="28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8.75" customHeight="1" spans="1:26" x14ac:dyDescent="0.25">
      <c r="A49" s="41" t="s">
        <v>31</v>
      </c>
      <c r="B49" s="35" t="s">
        <v>68</v>
      </c>
      <c r="C49" s="31">
        <f t="shared" si="0"/>
      </c>
      <c r="D49" s="36" t="s">
        <v>52</v>
      </c>
      <c r="E49" s="37">
        <v>5</v>
      </c>
      <c r="F49" s="27"/>
      <c r="G49" s="38"/>
      <c r="H49" s="27"/>
      <c r="I49" s="38"/>
      <c r="J49" s="40"/>
      <c r="K49" s="40">
        <f>IF($A49="Item",IFERROR(VLOOKUP($D49,'Rates &amp; Settings'!$A$9:$B$21,2,FALSE)*$E49,0)+IFERROR(VLOOKUP($F49,'Rates &amp; Settings'!$A$9:$B$21,2,FALSE)*$G49,0)+IFERROR(VLOOKUP($H49,'Rates &amp; Settings'!$A$9:$B$21,2,FALSE)*$I49,0)+$J49,"")</f>
        <v>0</v>
      </c>
      <c r="L49" s="26" t="str">
        <f t="shared" si="1"/>
        <v>Development</v>
      </c>
      <c r="M49" s="28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8.75" customHeight="1" spans="1:26" x14ac:dyDescent="0.25">
      <c r="A50" s="41" t="s">
        <v>31</v>
      </c>
      <c r="B50" s="35" t="s">
        <v>69</v>
      </c>
      <c r="C50" s="31">
        <f t="shared" si="0"/>
      </c>
      <c r="D50" s="36" t="s">
        <v>52</v>
      </c>
      <c r="E50" s="37">
        <v>6</v>
      </c>
      <c r="F50" s="27"/>
      <c r="G50" s="38"/>
      <c r="H50" s="27"/>
      <c r="I50" s="38"/>
      <c r="J50" s="40"/>
      <c r="K50" s="40">
        <f>IF($A50="Item",IFERROR(VLOOKUP($D50,'Rates &amp; Settings'!$A$9:$B$21,2,FALSE)*$E50,0)+IFERROR(VLOOKUP($F50,'Rates &amp; Settings'!$A$9:$B$21,2,FALSE)*$G50,0)+IFERROR(VLOOKUP($H50,'Rates &amp; Settings'!$A$9:$B$21,2,FALSE)*$I50,0)+$J50,"")</f>
        <v>0</v>
      </c>
      <c r="L50" s="26" t="str">
        <f t="shared" si="1"/>
        <v>Development</v>
      </c>
      <c r="M50" s="28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8.75" customHeight="1" spans="1:26" x14ac:dyDescent="0.25">
      <c r="A51" s="41" t="s">
        <v>31</v>
      </c>
      <c r="B51" s="35" t="s">
        <v>70</v>
      </c>
      <c r="C51" s="31">
        <f t="shared" si="0"/>
      </c>
      <c r="D51" s="36" t="s">
        <v>52</v>
      </c>
      <c r="E51" s="37">
        <v>4</v>
      </c>
      <c r="F51" s="27"/>
      <c r="G51" s="38"/>
      <c r="H51" s="27"/>
      <c r="I51" s="38"/>
      <c r="J51" s="40"/>
      <c r="K51" s="40">
        <f>IF($A51="Item",IFERROR(VLOOKUP($D51,'Rates &amp; Settings'!$A$9:$B$21,2,FALSE)*$E51,0)+IFERROR(VLOOKUP($F51,'Rates &amp; Settings'!$A$9:$B$21,2,FALSE)*$G51,0)+IFERROR(VLOOKUP($H51,'Rates &amp; Settings'!$A$9:$B$21,2,FALSE)*$I51,0)+$J51,"")</f>
        <v>0</v>
      </c>
      <c r="L51" s="26" t="str">
        <f t="shared" si="1"/>
        <v>Development</v>
      </c>
      <c r="M51" s="28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8.75" customHeight="1" spans="1:26" x14ac:dyDescent="0.25">
      <c r="A52" s="41" t="s">
        <v>31</v>
      </c>
      <c r="B52" s="35" t="s">
        <v>71</v>
      </c>
      <c r="C52" s="31">
        <f t="shared" si="0"/>
      </c>
      <c r="D52" s="36" t="s">
        <v>52</v>
      </c>
      <c r="E52" s="37">
        <v>3</v>
      </c>
      <c r="F52" s="27"/>
      <c r="G52" s="38"/>
      <c r="H52" s="27"/>
      <c r="I52" s="38"/>
      <c r="J52" s="40"/>
      <c r="K52" s="40">
        <f>IF($A52="Item",IFERROR(VLOOKUP($D52,'Rates &amp; Settings'!$A$9:$B$21,2,FALSE)*$E52,0)+IFERROR(VLOOKUP($F52,'Rates &amp; Settings'!$A$9:$B$21,2,FALSE)*$G52,0)+IFERROR(VLOOKUP($H52,'Rates &amp; Settings'!$A$9:$B$21,2,FALSE)*$I52,0)+$J52,"")</f>
        <v>0</v>
      </c>
      <c r="L52" s="26" t="str">
        <f t="shared" si="1"/>
        <v>Development</v>
      </c>
      <c r="M52" s="28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8.75" customHeight="1" spans="1:26" x14ac:dyDescent="0.25">
      <c r="A53" s="41" t="s">
        <v>31</v>
      </c>
      <c r="B53" s="35" t="s">
        <v>72</v>
      </c>
      <c r="C53" s="31">
        <f t="shared" si="0"/>
      </c>
      <c r="D53" s="36" t="s">
        <v>73</v>
      </c>
      <c r="E53" s="37">
        <v>6</v>
      </c>
      <c r="F53" s="27"/>
      <c r="G53" s="38"/>
      <c r="H53" s="27"/>
      <c r="I53" s="38"/>
      <c r="J53" s="40"/>
      <c r="K53" s="40">
        <f>IF($A53="Item",IFERROR(VLOOKUP($D53,'Rates &amp; Settings'!$A$9:$B$21,2,FALSE)*$E53,0)+IFERROR(VLOOKUP($F53,'Rates &amp; Settings'!$A$9:$B$21,2,FALSE)*$G53,0)+IFERROR(VLOOKUP($H53,'Rates &amp; Settings'!$A$9:$B$21,2,FALSE)*$I53,0)+$J53,"")</f>
        <v>0</v>
      </c>
      <c r="L53" s="26" t="str">
        <f t="shared" si="1"/>
        <v>Development</v>
      </c>
      <c r="M53" s="28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8.75" customHeight="1" spans="1:26" x14ac:dyDescent="0.25">
      <c r="A54" s="41" t="s">
        <v>31</v>
      </c>
      <c r="B54" s="35" t="s">
        <v>74</v>
      </c>
      <c r="C54" s="31">
        <f t="shared" si="0"/>
      </c>
      <c r="D54" s="36" t="s">
        <v>73</v>
      </c>
      <c r="E54" s="37">
        <v>4</v>
      </c>
      <c r="F54" s="27"/>
      <c r="G54" s="38"/>
      <c r="H54" s="27"/>
      <c r="I54" s="38"/>
      <c r="J54" s="40"/>
      <c r="K54" s="40">
        <f>IF($A54="Item",IFERROR(VLOOKUP($D54,'Rates &amp; Settings'!$A$9:$B$21,2,FALSE)*$E54,0)+IFERROR(VLOOKUP($F54,'Rates &amp; Settings'!$A$9:$B$21,2,FALSE)*$G54,0)+IFERROR(VLOOKUP($H54,'Rates &amp; Settings'!$A$9:$B$21,2,FALSE)*$I54,0)+$J54,"")</f>
        <v>0</v>
      </c>
      <c r="L54" s="26" t="str">
        <f t="shared" si="1"/>
        <v>Development</v>
      </c>
      <c r="M54" s="28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8.75" customHeight="1" spans="1:26" x14ac:dyDescent="0.25">
      <c r="A55" s="41" t="s">
        <v>31</v>
      </c>
      <c r="B55" s="35"/>
      <c r="C55" s="31">
        <f t="shared" si="0"/>
      </c>
      <c r="D55" s="36"/>
      <c r="E55" s="37"/>
      <c r="F55" s="27"/>
      <c r="G55" s="38"/>
      <c r="H55" s="27"/>
      <c r="I55" s="38"/>
      <c r="J55" s="40"/>
      <c r="K55" s="40">
        <f>IF($A55="Item",IFERROR(VLOOKUP($D55,'Rates &amp; Settings'!$A$9:$B$21,2,FALSE)*$E55,0)+IFERROR(VLOOKUP($F55,'Rates &amp; Settings'!$A$9:$B$21,2,FALSE)*$G55,0)+IFERROR(VLOOKUP($H55,'Rates &amp; Settings'!$A$9:$B$21,2,FALSE)*$I55,0)+$J55,"")</f>
        <v>0</v>
      </c>
      <c r="L55" s="26" t="str">
        <f t="shared" si="1"/>
        <v>Development</v>
      </c>
      <c r="M55" s="28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8.75" customHeight="1" spans="1:26" x14ac:dyDescent="0.25">
      <c r="A56" s="41" t="s">
        <v>31</v>
      </c>
      <c r="B56" s="35"/>
      <c r="C56" s="31">
        <f t="shared" si="0"/>
      </c>
      <c r="D56" s="36"/>
      <c r="E56" s="37"/>
      <c r="F56" s="27"/>
      <c r="G56" s="38"/>
      <c r="H56" s="27"/>
      <c r="I56" s="38"/>
      <c r="J56" s="40"/>
      <c r="K56" s="40">
        <f>IF($A56="Item",IFERROR(VLOOKUP($D56,'Rates &amp; Settings'!$A$9:$B$21,2,FALSE)*$E56,0)+IFERROR(VLOOKUP($F56,'Rates &amp; Settings'!$A$9:$B$21,2,FALSE)*$G56,0)+IFERROR(VLOOKUP($H56,'Rates &amp; Settings'!$A$9:$B$21,2,FALSE)*$I56,0)+$J56,"")</f>
        <v>0</v>
      </c>
      <c r="L56" s="26" t="str">
        <f t="shared" si="1"/>
        <v>Development</v>
      </c>
      <c r="M56" s="28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8.75" customHeight="1" spans="1:26" x14ac:dyDescent="0.25">
      <c r="A57" s="41" t="s">
        <v>31</v>
      </c>
      <c r="B57" s="35"/>
      <c r="C57" s="31">
        <f t="shared" si="0"/>
      </c>
      <c r="D57" s="36"/>
      <c r="E57" s="37"/>
      <c r="F57" s="27"/>
      <c r="G57" s="38"/>
      <c r="H57" s="27"/>
      <c r="I57" s="38"/>
      <c r="J57" s="40"/>
      <c r="K57" s="40">
        <f>IF($A57="Item",IFERROR(VLOOKUP($D57,'Rates &amp; Settings'!$A$9:$B$21,2,FALSE)*$E57,0)+IFERROR(VLOOKUP($F57,'Rates &amp; Settings'!$A$9:$B$21,2,FALSE)*$G57,0)+IFERROR(VLOOKUP($H57,'Rates &amp; Settings'!$A$9:$B$21,2,FALSE)*$I57,0)+$J57,"")</f>
        <v>0</v>
      </c>
      <c r="L57" s="26" t="str">
        <f t="shared" si="1"/>
        <v>Development</v>
      </c>
      <c r="M57" s="28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8.75" customHeight="1" spans="1:26" x14ac:dyDescent="0.25">
      <c r="A58" s="41" t="s">
        <v>31</v>
      </c>
      <c r="B58" s="35"/>
      <c r="C58" s="31">
        <f t="shared" si="0"/>
      </c>
      <c r="D58" s="36"/>
      <c r="E58" s="37"/>
      <c r="F58" s="27"/>
      <c r="G58" s="38"/>
      <c r="H58" s="27"/>
      <c r="I58" s="38"/>
      <c r="J58" s="40"/>
      <c r="K58" s="40">
        <f>IF($A58="Item",IFERROR(VLOOKUP($D58,'Rates &amp; Settings'!$A$9:$B$21,2,FALSE)*$E58,0)+IFERROR(VLOOKUP($F58,'Rates &amp; Settings'!$A$9:$B$21,2,FALSE)*$G58,0)+IFERROR(VLOOKUP($H58,'Rates &amp; Settings'!$A$9:$B$21,2,FALSE)*$I58,0)+$J58,"")</f>
        <v>0</v>
      </c>
      <c r="L58" s="26" t="str">
        <f t="shared" si="1"/>
        <v>Development</v>
      </c>
      <c r="M58" s="28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8.75" customHeight="1" spans="1:26" x14ac:dyDescent="0.25">
      <c r="A59" s="41" t="s">
        <v>31</v>
      </c>
      <c r="B59" s="35"/>
      <c r="C59" s="31">
        <f t="shared" si="0"/>
      </c>
      <c r="D59" s="36"/>
      <c r="E59" s="37"/>
      <c r="F59" s="27"/>
      <c r="G59" s="38"/>
      <c r="H59" s="27"/>
      <c r="I59" s="38"/>
      <c r="J59" s="40"/>
      <c r="K59" s="40">
        <f>IF($A59="Item",IFERROR(VLOOKUP($D59,'Rates &amp; Settings'!$A$9:$B$21,2,FALSE)*$E59,0)+IFERROR(VLOOKUP($F59,'Rates &amp; Settings'!$A$9:$B$21,2,FALSE)*$G59,0)+IFERROR(VLOOKUP($H59,'Rates &amp; Settings'!$A$9:$B$21,2,FALSE)*$I59,0)+$J59,"")</f>
        <v>0</v>
      </c>
      <c r="L59" s="26" t="str">
        <f t="shared" si="1"/>
        <v>Development</v>
      </c>
      <c r="M59" s="28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8.75" customHeight="1" spans="1:26" x14ac:dyDescent="0.25">
      <c r="A60" s="41" t="s">
        <v>31</v>
      </c>
      <c r="B60" s="35"/>
      <c r="C60" s="31">
        <f t="shared" si="0"/>
      </c>
      <c r="D60" s="36"/>
      <c r="E60" s="37"/>
      <c r="F60" s="27"/>
      <c r="G60" s="38"/>
      <c r="H60" s="27"/>
      <c r="I60" s="38"/>
      <c r="J60" s="40"/>
      <c r="K60" s="40">
        <f>IF($A60="Item",IFERROR(VLOOKUP($D60,'Rates &amp; Settings'!$A$9:$B$21,2,FALSE)*$E60,0)+IFERROR(VLOOKUP($F60,'Rates &amp; Settings'!$A$9:$B$21,2,FALSE)*$G60,0)+IFERROR(VLOOKUP($H60,'Rates &amp; Settings'!$A$9:$B$21,2,FALSE)*$I60,0)+$J60,"")</f>
        <v>0</v>
      </c>
      <c r="L60" s="26" t="str">
        <f t="shared" si="1"/>
        <v>Development</v>
      </c>
      <c r="M60" s="28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8.75" customHeight="1" spans="1:26" x14ac:dyDescent="0.25">
      <c r="A61" s="41" t="s">
        <v>31</v>
      </c>
      <c r="B61" s="35"/>
      <c r="C61" s="31">
        <f t="shared" si="0"/>
      </c>
      <c r="D61" s="36"/>
      <c r="E61" s="37"/>
      <c r="F61" s="27"/>
      <c r="G61" s="38"/>
      <c r="H61" s="27"/>
      <c r="I61" s="38"/>
      <c r="J61" s="40"/>
      <c r="K61" s="40">
        <f>IF($A61="Item",IFERROR(VLOOKUP($D61,'Rates &amp; Settings'!$A$9:$B$21,2,FALSE)*$E61,0)+IFERROR(VLOOKUP($F61,'Rates &amp; Settings'!$A$9:$B$21,2,FALSE)*$G61,0)+IFERROR(VLOOKUP($H61,'Rates &amp; Settings'!$A$9:$B$21,2,FALSE)*$I61,0)+$J61,"")</f>
        <v>0</v>
      </c>
      <c r="L61" s="26" t="str">
        <f t="shared" si="1"/>
        <v>Development</v>
      </c>
      <c r="M61" s="28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8.75" customHeight="1" spans="1:26" x14ac:dyDescent="0.25">
      <c r="A62" s="41" t="s">
        <v>31</v>
      </c>
      <c r="B62" s="35"/>
      <c r="C62" s="31">
        <f t="shared" si="0"/>
      </c>
      <c r="D62" s="36"/>
      <c r="E62" s="37"/>
      <c r="F62" s="27"/>
      <c r="G62" s="38"/>
      <c r="H62" s="27"/>
      <c r="I62" s="38"/>
      <c r="J62" s="40"/>
      <c r="K62" s="40">
        <f>IF($A62="Item",IFERROR(VLOOKUP($D62,'Rates &amp; Settings'!$A$9:$B$21,2,FALSE)*$E62,0)+IFERROR(VLOOKUP($F62,'Rates &amp; Settings'!$A$9:$B$21,2,FALSE)*$G62,0)+IFERROR(VLOOKUP($H62,'Rates &amp; Settings'!$A$9:$B$21,2,FALSE)*$I62,0)+$J62,"")</f>
        <v>0</v>
      </c>
      <c r="L62" s="26" t="str">
        <f t="shared" si="1"/>
        <v>Development</v>
      </c>
      <c r="M62" s="28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8.75" customHeight="1" spans="1:26" x14ac:dyDescent="0.25">
      <c r="A63" s="41" t="s">
        <v>41</v>
      </c>
      <c r="B63" s="26"/>
      <c r="C63" s="31">
        <f t="shared" si="0"/>
      </c>
      <c r="D63" s="27"/>
      <c r="E63" s="38"/>
      <c r="F63" s="27"/>
      <c r="G63" s="38"/>
      <c r="H63" s="27"/>
      <c r="I63" s="38"/>
      <c r="J63" s="40"/>
      <c r="K63" s="40">
        <f>IF($A63="Item",IFERROR(VLOOKUP($D63,'Rates &amp; Settings'!$A$9:$B$21,2,FALSE)*$E63,0)+IFERROR(VLOOKUP($F63,'Rates &amp; Settings'!$A$9:$B$21,2,FALSE)*$G63,0)+IFERROR(VLOOKUP($H63,'Rates &amp; Settings'!$A$9:$B$21,2,FALSE)*$I63,0)+$J63,"")</f>
      </c>
      <c r="L63" s="26">
        <f t="shared" si="1"/>
      </c>
      <c r="M63" s="28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8.75" customHeight="1" spans="1:26" x14ac:dyDescent="0.25">
      <c r="A64" s="41" t="s">
        <v>29</v>
      </c>
      <c r="B64" s="35" t="s">
        <v>75</v>
      </c>
      <c r="C64" s="31">
        <f t="shared" si="0"/>
        <v>0</v>
      </c>
      <c r="D64" s="27"/>
      <c r="E64" s="38"/>
      <c r="F64" s="27"/>
      <c r="G64" s="38"/>
      <c r="H64" s="27"/>
      <c r="I64" s="38"/>
      <c r="J64" s="40"/>
      <c r="K64" s="40">
        <f>IF($A64="Item",IFERROR(VLOOKUP($D64,'Rates &amp; Settings'!$A$9:$B$21,2,FALSE)*$E64,0)+IFERROR(VLOOKUP($F64,'Rates &amp; Settings'!$A$9:$B$21,2,FALSE)*$G64,0)+IFERROR(VLOOKUP($H64,'Rates &amp; Settings'!$A$9:$B$21,2,FALSE)*$I64,0)+$J64,"")</f>
      </c>
      <c r="L64" s="26" t="str">
        <f t="shared" si="1"/>
        <v>Content and Training</v>
      </c>
      <c r="M64" s="28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8.75" customHeight="1" spans="1:26" x14ac:dyDescent="0.25">
      <c r="A65" s="41" t="s">
        <v>31</v>
      </c>
      <c r="B65" s="35" t="s">
        <v>76</v>
      </c>
      <c r="C65" s="31">
        <f t="shared" si="0"/>
      </c>
      <c r="D65" s="36" t="s">
        <v>77</v>
      </c>
      <c r="E65" s="37">
        <v>8</v>
      </c>
      <c r="F65" s="27"/>
      <c r="G65" s="38"/>
      <c r="H65" s="27"/>
      <c r="I65" s="38"/>
      <c r="J65" s="40"/>
      <c r="K65" s="40">
        <f>IF($A65="Item",IFERROR(VLOOKUP($D65,'Rates &amp; Settings'!$A$9:$B$21,2,FALSE)*$E65,0)+IFERROR(VLOOKUP($F65,'Rates &amp; Settings'!$A$9:$B$21,2,FALSE)*$G65,0)+IFERROR(VLOOKUP($H65,'Rates &amp; Settings'!$A$9:$B$21,2,FALSE)*$I65,0)+$J65,"")</f>
        <v>0</v>
      </c>
      <c r="L65" s="26" t="str">
        <f t="shared" si="1"/>
        <v>Content and Training</v>
      </c>
      <c r="M65" s="28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8.75" customHeight="1" spans="1:26" x14ac:dyDescent="0.25">
      <c r="A66" s="41" t="s">
        <v>31</v>
      </c>
      <c r="B66" s="35" t="s">
        <v>78</v>
      </c>
      <c r="C66" s="31">
        <f t="shared" si="0"/>
      </c>
      <c r="D66" s="36" t="s">
        <v>77</v>
      </c>
      <c r="E66" s="37">
        <v>8</v>
      </c>
      <c r="F66" s="27"/>
      <c r="G66" s="38"/>
      <c r="H66" s="27"/>
      <c r="I66" s="38"/>
      <c r="J66" s="40"/>
      <c r="K66" s="40">
        <f>IF($A66="Item",IFERROR(VLOOKUP($D66,'Rates &amp; Settings'!$A$9:$B$21,2,FALSE)*$E66,0)+IFERROR(VLOOKUP($F66,'Rates &amp; Settings'!$A$9:$B$21,2,FALSE)*$G66,0)+IFERROR(VLOOKUP($H66,'Rates &amp; Settings'!$A$9:$B$21,2,FALSE)*$I66,0)+$J66,"")</f>
        <v>0</v>
      </c>
      <c r="L66" s="26" t="str">
        <f t="shared" si="1"/>
        <v>Content and Training</v>
      </c>
      <c r="M66" s="28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8.75" customHeight="1" spans="1:26" x14ac:dyDescent="0.25">
      <c r="A67" s="41" t="s">
        <v>31</v>
      </c>
      <c r="B67" s="35" t="s">
        <v>79</v>
      </c>
      <c r="C67" s="31">
        <f t="shared" si="0"/>
      </c>
      <c r="D67" s="36" t="s">
        <v>77</v>
      </c>
      <c r="E67" s="37">
        <v>4</v>
      </c>
      <c r="F67" s="27"/>
      <c r="G67" s="38"/>
      <c r="H67" s="27"/>
      <c r="I67" s="38"/>
      <c r="J67" s="40"/>
      <c r="K67" s="40">
        <f>IF($A67="Item",IFERROR(VLOOKUP($D67,'Rates &amp; Settings'!$A$9:$B$21,2,FALSE)*$E67,0)+IFERROR(VLOOKUP($F67,'Rates &amp; Settings'!$A$9:$B$21,2,FALSE)*$G67,0)+IFERROR(VLOOKUP($H67,'Rates &amp; Settings'!$A$9:$B$21,2,FALSE)*$I67,0)+$J67,"")</f>
        <v>0</v>
      </c>
      <c r="L67" s="26" t="str">
        <f t="shared" si="1"/>
        <v>Content and Training</v>
      </c>
      <c r="M67" s="28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8.75" customHeight="1" spans="1:26" x14ac:dyDescent="0.25">
      <c r="A68" s="41" t="s">
        <v>31</v>
      </c>
      <c r="B68" s="35" t="s">
        <v>80</v>
      </c>
      <c r="C68" s="31">
        <f t="shared" si="0"/>
      </c>
      <c r="D68" s="36" t="s">
        <v>33</v>
      </c>
      <c r="E68" s="37">
        <v>3</v>
      </c>
      <c r="F68" s="27"/>
      <c r="G68" s="38"/>
      <c r="H68" s="27"/>
      <c r="I68" s="38"/>
      <c r="J68" s="40"/>
      <c r="K68" s="40">
        <f>IF($A68="Item",IFERROR(VLOOKUP($D68,'Rates &amp; Settings'!$A$9:$B$21,2,FALSE)*$E68,0)+IFERROR(VLOOKUP($F68,'Rates &amp; Settings'!$A$9:$B$21,2,FALSE)*$G68,0)+IFERROR(VLOOKUP($H68,'Rates &amp; Settings'!$A$9:$B$21,2,FALSE)*$I68,0)+$J68,"")</f>
        <v>0</v>
      </c>
      <c r="L68" s="26" t="str">
        <f t="shared" si="1"/>
        <v>Content and Training</v>
      </c>
      <c r="M68" s="28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8.75" customHeight="1" spans="1:26" x14ac:dyDescent="0.25">
      <c r="A69" s="41" t="s">
        <v>41</v>
      </c>
      <c r="B69" s="26"/>
      <c r="C69" s="31">
        <f t="shared" si="0"/>
      </c>
      <c r="D69" s="27"/>
      <c r="E69" s="38"/>
      <c r="F69" s="27"/>
      <c r="G69" s="38"/>
      <c r="H69" s="27"/>
      <c r="I69" s="38"/>
      <c r="J69" s="40"/>
      <c r="K69" s="40">
        <f>IF($A69="Item",IFERROR(VLOOKUP($D69,'Rates &amp; Settings'!$A$9:$B$21,2,FALSE)*$E69,0)+IFERROR(VLOOKUP($F69,'Rates &amp; Settings'!$A$9:$B$21,2,FALSE)*$G69,0)+IFERROR(VLOOKUP($H69,'Rates &amp; Settings'!$A$9:$B$21,2,FALSE)*$I69,0)+$J69,"")</f>
      </c>
      <c r="L69" s="26">
        <f t="shared" si="1"/>
      </c>
      <c r="M69" s="28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8.75" customHeight="1" spans="1:26" x14ac:dyDescent="0.25">
      <c r="A70" s="41" t="s">
        <v>29</v>
      </c>
      <c r="B70" s="35" t="s">
        <v>81</v>
      </c>
      <c r="C70" s="31">
        <f t="shared" si="0"/>
        <v>0</v>
      </c>
      <c r="D70" s="27"/>
      <c r="E70" s="38"/>
      <c r="F70" s="27"/>
      <c r="G70" s="38"/>
      <c r="H70" s="27"/>
      <c r="I70" s="38"/>
      <c r="J70" s="40"/>
      <c r="K70" s="40">
        <f>IF($A70="Item",IFERROR(VLOOKUP($D70,'Rates &amp; Settings'!$A$9:$B$21,2,FALSE)*$E70,0)+IFERROR(VLOOKUP($F70,'Rates &amp; Settings'!$A$9:$B$21,2,FALSE)*$G70,0)+IFERROR(VLOOKUP($H70,'Rates &amp; Settings'!$A$9:$B$21,2,FALSE)*$I70,0)+$J70,"")</f>
      </c>
      <c r="L70" s="26" t="str">
        <f t="shared" si="1"/>
        <v>Golive and Delivery</v>
      </c>
      <c r="M70" s="28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8.75" customHeight="1" spans="1:26" x14ac:dyDescent="0.25">
      <c r="A71" s="41" t="s">
        <v>31</v>
      </c>
      <c r="B71" s="35" t="s">
        <v>82</v>
      </c>
      <c r="C71" s="31">
        <f t="shared" si="0"/>
      </c>
      <c r="D71" s="36" t="s">
        <v>83</v>
      </c>
      <c r="E71" s="37">
        <v>10</v>
      </c>
      <c r="F71" s="27"/>
      <c r="G71" s="38"/>
      <c r="H71" s="27"/>
      <c r="I71" s="38"/>
      <c r="J71" s="40"/>
      <c r="K71" s="40">
        <f>IF($A71="Item",IFERROR(VLOOKUP($D71,'Rates &amp; Settings'!$A$9:$B$21,2,FALSE)*$E71,0)+IFERROR(VLOOKUP($F71,'Rates &amp; Settings'!$A$9:$B$21,2,FALSE)*$G71,0)+IFERROR(VLOOKUP($H71,'Rates &amp; Settings'!$A$9:$B$21,2,FALSE)*$I71,0)+$J71,"")</f>
        <v>0</v>
      </c>
      <c r="L71" s="26" t="str">
        <f t="shared" si="1"/>
        <v>Golive and Delivery</v>
      </c>
      <c r="M71" s="28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8.75" customHeight="1" spans="1:26" x14ac:dyDescent="0.25">
      <c r="A72" s="41" t="s">
        <v>31</v>
      </c>
      <c r="B72" s="35" t="s">
        <v>84</v>
      </c>
      <c r="C72" s="31">
        <f t="shared" si="0"/>
      </c>
      <c r="D72" s="36" t="s">
        <v>83</v>
      </c>
      <c r="E72" s="37">
        <v>4</v>
      </c>
      <c r="F72" s="27"/>
      <c r="G72" s="38"/>
      <c r="H72" s="27"/>
      <c r="I72" s="38"/>
      <c r="J72" s="40"/>
      <c r="K72" s="40">
        <f>IF($A72="Item",IFERROR(VLOOKUP($D72,'Rates &amp; Settings'!$A$9:$B$21,2,FALSE)*$E72,0)+IFERROR(VLOOKUP($F72,'Rates &amp; Settings'!$A$9:$B$21,2,FALSE)*$G72,0)+IFERROR(VLOOKUP($H72,'Rates &amp; Settings'!$A$9:$B$21,2,FALSE)*$I72,0)+$J72,"")</f>
        <v>0</v>
      </c>
      <c r="L72" s="26" t="str">
        <f t="shared" si="1"/>
        <v>Golive and Delivery</v>
      </c>
      <c r="M72" s="28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8.75" customHeight="1" spans="1:26" x14ac:dyDescent="0.25">
      <c r="A73" s="41" t="s">
        <v>31</v>
      </c>
      <c r="B73" s="35" t="s">
        <v>85</v>
      </c>
      <c r="C73" s="31">
        <f t="shared" si="0"/>
      </c>
      <c r="D73" s="36" t="s">
        <v>52</v>
      </c>
      <c r="E73" s="37">
        <v>6</v>
      </c>
      <c r="F73" s="36"/>
      <c r="G73" s="37"/>
      <c r="H73" s="27"/>
      <c r="I73" s="38"/>
      <c r="J73" s="40"/>
      <c r="K73" s="40">
        <f>IF($A73="Item",IFERROR(VLOOKUP($D73,'Rates &amp; Settings'!$A$9:$B$21,2,FALSE)*$E73,0)+IFERROR(VLOOKUP($F73,'Rates &amp; Settings'!$A$9:$B$21,2,FALSE)*$G73,0)+IFERROR(VLOOKUP($H73,'Rates &amp; Settings'!$A$9:$B$21,2,FALSE)*$I73,0)+$J73,"")</f>
        <v>0</v>
      </c>
      <c r="L73" s="26" t="str">
        <f t="shared" si="1"/>
        <v>Golive and Delivery</v>
      </c>
      <c r="M73" s="28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8.75" customHeight="1" spans="1:26" x14ac:dyDescent="0.25">
      <c r="A74" s="41" t="s">
        <v>31</v>
      </c>
      <c r="B74" s="35" t="s">
        <v>86</v>
      </c>
      <c r="C74" s="31">
        <f t="shared" si="0"/>
      </c>
      <c r="D74" s="36" t="s">
        <v>83</v>
      </c>
      <c r="E74" s="37">
        <v>2</v>
      </c>
      <c r="F74" s="27"/>
      <c r="G74" s="38"/>
      <c r="H74" s="27"/>
      <c r="I74" s="38"/>
      <c r="J74" s="40"/>
      <c r="K74" s="40">
        <f>IF($A74="Item",IFERROR(VLOOKUP($D74,'Rates &amp; Settings'!$A$9:$B$21,2,FALSE)*$E74,0)+IFERROR(VLOOKUP($F74,'Rates &amp; Settings'!$A$9:$B$21,2,FALSE)*$G74,0)+IFERROR(VLOOKUP($H74,'Rates &amp; Settings'!$A$9:$B$21,2,FALSE)*$I74,0)+$J74,"")</f>
        <v>0</v>
      </c>
      <c r="L74" s="26" t="str">
        <f t="shared" si="1"/>
        <v>Golive and Delivery</v>
      </c>
      <c r="M74" s="28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8.75" customHeight="1" spans="1:26" x14ac:dyDescent="0.25">
      <c r="A75" s="41" t="s">
        <v>31</v>
      </c>
      <c r="B75" s="35" t="s">
        <v>87</v>
      </c>
      <c r="C75" s="31">
        <f t="shared" si="0"/>
      </c>
      <c r="D75" s="36" t="s">
        <v>83</v>
      </c>
      <c r="E75" s="37">
        <v>4</v>
      </c>
      <c r="F75" s="36"/>
      <c r="G75" s="37"/>
      <c r="H75" s="27"/>
      <c r="I75" s="38"/>
      <c r="J75" s="40"/>
      <c r="K75" s="40">
        <f>IF($A75="Item",IFERROR(VLOOKUP($D75,'Rates &amp; Settings'!$A$9:$B$21,2,FALSE)*$E75,0)+IFERROR(VLOOKUP($F75,'Rates &amp; Settings'!$A$9:$B$21,2,FALSE)*$G75,0)+IFERROR(VLOOKUP($H75,'Rates &amp; Settings'!$A$9:$B$21,2,FALSE)*$I75,0)+$J75,"")</f>
        <v>0</v>
      </c>
      <c r="L75" s="26" t="str">
        <f t="shared" si="1"/>
        <v>Golive and Delivery</v>
      </c>
      <c r="M75" s="28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8.75" customHeight="1" spans="1:26" x14ac:dyDescent="0.25">
      <c r="A76" s="41" t="s">
        <v>31</v>
      </c>
      <c r="B76" s="35" t="s">
        <v>88</v>
      </c>
      <c r="C76" s="31">
        <f t="shared" si="0"/>
      </c>
      <c r="D76" s="36" t="s">
        <v>33</v>
      </c>
      <c r="E76" s="37">
        <v>2</v>
      </c>
      <c r="F76" s="27"/>
      <c r="G76" s="38"/>
      <c r="H76" s="27"/>
      <c r="I76" s="38"/>
      <c r="J76" s="40"/>
      <c r="K76" s="40">
        <f>IF($A76="Item",IFERROR(VLOOKUP($D76,'Rates &amp; Settings'!$A$9:$B$21,2,FALSE)*$E76,0)+IFERROR(VLOOKUP($F76,'Rates &amp; Settings'!$A$9:$B$21,2,FALSE)*$G76,0)+IFERROR(VLOOKUP($H76,'Rates &amp; Settings'!$A$9:$B$21,2,FALSE)*$I76,0)+$J76,"")</f>
        <v>0</v>
      </c>
      <c r="L76" s="26" t="str">
        <f t="shared" si="1"/>
        <v>Golive and Delivery</v>
      </c>
      <c r="M76" s="28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8.75" customHeight="1" spans="1:26" x14ac:dyDescent="0.25">
      <c r="A77" s="41" t="s">
        <v>31</v>
      </c>
      <c r="B77" s="35"/>
      <c r="C77" s="31">
        <f t="shared" si="0"/>
      </c>
      <c r="D77" s="36"/>
      <c r="E77" s="37"/>
      <c r="F77" s="27"/>
      <c r="G77" s="38"/>
      <c r="H77" s="27"/>
      <c r="I77" s="38"/>
      <c r="J77" s="40"/>
      <c r="K77" s="40">
        <f>IF($A77="Item",IFERROR(VLOOKUP($D77,'Rates &amp; Settings'!$A$9:$B$21,2,FALSE)*$E77,0)+IFERROR(VLOOKUP($F77,'Rates &amp; Settings'!$A$9:$B$21,2,FALSE)*$G77,0)+IFERROR(VLOOKUP($H77,'Rates &amp; Settings'!$A$9:$B$21,2,FALSE)*$I77,0)+$J77,"")</f>
        <v>0</v>
      </c>
      <c r="L77" s="26" t="str">
        <f t="shared" si="1"/>
        <v>Golive and Delivery</v>
      </c>
      <c r="M77" s="28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8.75" customHeight="1" spans="1:26" x14ac:dyDescent="0.25">
      <c r="A78" s="25"/>
      <c r="B78" s="26"/>
      <c r="C78" s="31">
        <f t="shared" si="0"/>
      </c>
      <c r="D78" s="27"/>
      <c r="E78" s="38"/>
      <c r="F78" s="27"/>
      <c r="G78" s="38"/>
      <c r="H78" s="27"/>
      <c r="I78" s="38"/>
      <c r="J78" s="40"/>
      <c r="K78" s="40">
        <f>IF($A78="Item",IFERROR(VLOOKUP($D78,'Rates &amp; Settings'!$A$9:$B$21,2,FALSE)*$E78,0)+IFERROR(VLOOKUP($F78,'Rates &amp; Settings'!$A$9:$B$21,2,FALSE)*$G78,0)+IFERROR(VLOOKUP($H78,'Rates &amp; Settings'!$A$9:$B$21,2,FALSE)*$I78,0)+$J78,"")</f>
      </c>
      <c r="L78" s="26">
        <f t="shared" si="1"/>
      </c>
      <c r="M78" s="28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8.75" customHeight="1" spans="1:26" x14ac:dyDescent="0.25">
      <c r="A79" s="25"/>
      <c r="B79" s="48"/>
      <c r="C79" s="49"/>
      <c r="D79" s="27"/>
      <c r="E79" s="27"/>
      <c r="F79" s="27"/>
      <c r="G79" s="27"/>
      <c r="H79" s="27"/>
      <c r="I79" s="27"/>
      <c r="J79" s="27"/>
      <c r="K79" s="27"/>
      <c r="L79" s="28">
        <f>IF(A68="Header",B68,IF(A68="Item",IFERROR(LOOKUP(2,1/($A$2:A68="Header"),$B$2:B68),""),""))</f>
      </c>
      <c r="M79" s="28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8.75" customHeight="1" spans="1:26" x14ac:dyDescent="0.25">
      <c r="A80" s="50"/>
      <c r="B80" s="51" t="s">
        <v>89</v>
      </c>
      <c r="C80" s="52">
        <f>SUMIF(A:A,"Header",C:C)*(1+$G$4)*(1-$G$5)</f>
        <v>630</v>
      </c>
      <c r="D80" s="28"/>
      <c r="E80" s="28"/>
      <c r="F80" s="28"/>
      <c r="G80" s="28"/>
      <c r="H80" s="28"/>
      <c r="I80" s="28"/>
      <c r="J80" s="28"/>
      <c r="K80" s="28"/>
      <c r="L80" s="28" t="str">
        <f t="shared" ref="L80:L82" si="2">IF(A70="Header",B70,IF(A70="Item",IFERROR(LOOKUP(2,1/($A$2:A70="Header"),$B$2:B70),""),""))</f>
        <v>Golive and Delivery</v>
      </c>
      <c r="M80" s="28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8.75" customHeight="1" spans="1:26" x14ac:dyDescent="0.25">
      <c r="A81" s="53"/>
      <c r="B81" s="54" t="s">
        <v>90</v>
      </c>
      <c r="C81" s="55">
        <f>C80*'Rates &amp; Settings'!B3</f>
        <v>63</v>
      </c>
      <c r="D81" s="28"/>
      <c r="E81" s="28"/>
      <c r="F81" s="28"/>
      <c r="G81" s="28"/>
      <c r="H81" s="28"/>
      <c r="I81" s="28"/>
      <c r="J81" s="28"/>
      <c r="K81" s="28"/>
      <c r="L81" s="28">
        <f t="shared" si="2"/>
      </c>
      <c r="M81" s="28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8.75" customHeight="1" spans="1:26" x14ac:dyDescent="0.25">
      <c r="A82" s="56"/>
      <c r="B82" s="57" t="s">
        <v>91</v>
      </c>
      <c r="C82" s="58">
        <f>C80+C81</f>
        <v>693</v>
      </c>
      <c r="D82" s="28"/>
      <c r="E82" s="28"/>
      <c r="F82" s="28"/>
      <c r="G82" s="28"/>
      <c r="H82" s="28"/>
      <c r="I82" s="28"/>
      <c r="J82" s="28"/>
      <c r="K82" s="28"/>
      <c r="L82" s="28">
        <f t="shared" si="2"/>
      </c>
      <c r="M82" s="28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8.75" customHeight="1" spans="1:26" x14ac:dyDescent="0.25">
      <c r="A83" s="25"/>
      <c r="B83" s="48"/>
      <c r="C83" s="49"/>
      <c r="D83" s="27"/>
      <c r="E83" s="27"/>
      <c r="F83" s="27"/>
      <c r="G83" s="27"/>
      <c r="H83" s="27"/>
      <c r="I83" s="27"/>
      <c r="J83" s="27"/>
      <c r="K83" s="27"/>
      <c r="L83" s="28">
        <f>IF(A72="Header",B72,IF(A72="Item",IFERROR(LOOKUP(2,1/($A$2:A72="Header"),$B$2:B72),""),""))</f>
      </c>
      <c r="M83" s="28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8.75" customHeight="1" spans="1:26" x14ac:dyDescent="0.25">
      <c r="A84" s="59"/>
      <c r="B84" s="18"/>
      <c r="C84" s="60"/>
      <c r="D84" s="61"/>
      <c r="E84" s="61"/>
      <c r="F84" s="61"/>
      <c r="G84" s="61"/>
      <c r="H84" s="61"/>
      <c r="I84" s="27"/>
      <c r="J84" s="27"/>
      <c r="K84" s="27"/>
      <c r="L84" s="28"/>
      <c r="M84" s="28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8.75" customHeight="1" spans="1:26" x14ac:dyDescent="0.25">
      <c r="A85" s="62"/>
      <c r="B85" s="63" t="s">
        <v>92</v>
      </c>
      <c r="C85" s="64">
        <v>2000</v>
      </c>
      <c r="D85" s="62"/>
      <c r="E85" s="62"/>
      <c r="F85" s="62"/>
      <c r="G85" s="62"/>
      <c r="H85" s="62"/>
      <c r="I85" s="38"/>
      <c r="J85" s="40"/>
      <c r="K85" s="40"/>
      <c r="L85" s="26">
        <f t="array" ref="L85">IF($A85="Header",$B85,IF($A85="Item",IFERROR(INDEX($B$12:$B85,MATCH(2,1/($A$12:$A85="Header"),1)),""),""))</f>
      </c>
      <c r="M85" s="28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8.75" customHeight="1" spans="1:26" x14ac:dyDescent="0.25">
      <c r="A86" s="65"/>
      <c r="B86" s="66" t="s">
        <v>93</v>
      </c>
      <c r="C86" s="60"/>
      <c r="D86" s="67"/>
      <c r="E86" s="27"/>
      <c r="F86" s="27"/>
      <c r="G86" s="27"/>
      <c r="H86" s="27"/>
      <c r="I86" s="27"/>
      <c r="J86" s="27"/>
      <c r="K86" s="27"/>
      <c r="L86" s="28">
        <f>IF(A76="Header",B76,IF(A76="Item",IFERROR(LOOKUP(2,1/($A$2:A76="Header"),$B$2:B76),""),""))</f>
      </c>
      <c r="M86" s="28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8.75" customHeight="1" spans="1:26" x14ac:dyDescent="0.25">
      <c r="A87" s="62"/>
      <c r="B87" s="63"/>
      <c r="C87" s="68"/>
      <c r="D87" s="62"/>
      <c r="E87" s="62"/>
      <c r="F87" s="62"/>
      <c r="G87" s="62"/>
      <c r="H87" s="62"/>
      <c r="I87" s="38"/>
      <c r="J87" s="40"/>
      <c r="K87" s="40"/>
      <c r="L87" s="26">
        <f t="array" ref="L87">IF($A87="Header",$B87,IF($A87="Item",IFERROR(INDEX($B$12:$B87,MATCH(2,1/($A$12:$A87="Header"),1)),""),""))</f>
      </c>
      <c r="M87" s="28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8.75" customHeight="1" spans="1:26" x14ac:dyDescent="0.25">
      <c r="A88" s="62"/>
      <c r="B88" s="63" t="s">
        <v>94</v>
      </c>
      <c r="C88" s="68"/>
      <c r="D88" s="62"/>
      <c r="E88" s="62"/>
      <c r="F88" s="62"/>
      <c r="G88" s="62"/>
      <c r="H88" s="62"/>
      <c r="I88" s="38"/>
      <c r="J88" s="40"/>
      <c r="K88" s="40"/>
      <c r="L88" s="26">
        <f t="array" ref="L88">IF($A88="Header",#REF!,IF($A88="Item",IFERROR(INDEX($B$12:$B87,MATCH(2,1/($A$12:$A88="Header"),1)),""),""))</f>
      </c>
      <c r="M88" s="28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20.25" customHeight="1" spans="1:26" x14ac:dyDescent="0.25">
      <c r="A89" s="62"/>
      <c r="B89" s="63" t="s">
        <v>95</v>
      </c>
      <c r="C89" s="64">
        <v>5260</v>
      </c>
      <c r="D89" s="62"/>
      <c r="E89" s="62"/>
      <c r="F89" s="62"/>
      <c r="G89" s="62"/>
      <c r="H89" s="62"/>
      <c r="I89" s="62"/>
      <c r="J89" s="62"/>
      <c r="K89" s="62"/>
      <c r="L89" s="62">
        <f>IF(A80="Header",B80,IF(A80="Item",IFERROR(LOOKUP(2,1/($A$2:A80="Header"),$B$2:B80),""),""))</f>
      </c>
      <c r="M89" s="62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8.75" customHeight="1" spans="1:26" x14ac:dyDescent="0.25">
      <c r="A90" s="65"/>
      <c r="B90" s="63" t="s">
        <v>96</v>
      </c>
      <c r="C90" s="69">
        <v>2480</v>
      </c>
      <c r="D90" s="67"/>
      <c r="E90" s="27"/>
      <c r="F90" s="27"/>
      <c r="G90" s="27"/>
      <c r="H90" s="27"/>
      <c r="I90" s="27"/>
      <c r="J90" s="27"/>
      <c r="K90" s="27"/>
      <c r="L90" s="28">
        <f>IF(A80="Header",B80,IF(A80="Item",IFERROR(LOOKUP(2,1/($A$2:A80="Header"),$B$2:B80),""),""))</f>
      </c>
      <c r="M90" s="28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8.75" customHeight="1" spans="1:26" x14ac:dyDescent="0.25">
      <c r="A91" s="62"/>
      <c r="B91" s="66" t="s">
        <v>97</v>
      </c>
      <c r="D91" s="62"/>
      <c r="E91" s="62"/>
      <c r="F91" s="62"/>
      <c r="G91" s="62"/>
      <c r="H91" s="62"/>
      <c r="I91" s="38"/>
      <c r="J91" s="40"/>
      <c r="K91" s="40"/>
      <c r="L91" s="26">
        <f t="array" ref="L91">IF($A91="Header",$B90,IF($A91="Item",IFERROR(INDEX($B$12:$B90,MATCH(2,1/($A$12:$A91="Header"),1)),""),""))</f>
      </c>
      <c r="M91" s="28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8.75" customHeight="1" spans="1:26" x14ac:dyDescent="0.25">
      <c r="A92" s="62"/>
      <c r="B92" s="66"/>
      <c r="C92" s="70"/>
      <c r="D92" s="62"/>
      <c r="E92" s="62"/>
      <c r="F92" s="62"/>
      <c r="G92" s="62"/>
      <c r="H92" s="62"/>
      <c r="I92" s="38"/>
      <c r="J92" s="40"/>
      <c r="K92" s="40"/>
      <c r="L92" s="26">
        <f t="array" ref="L92">IF($A92="Header",$B92,IF($A92="Item",IFERROR(INDEX($B$12:$B92,MATCH(2,1/($A$12:$A92="Header"),1)),""),""))</f>
      </c>
      <c r="M92" s="28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20.25" customHeight="1" spans="1:26" x14ac:dyDescent="0.25">
      <c r="A93" s="62"/>
      <c r="B93" s="63"/>
      <c r="C93" s="63"/>
      <c r="D93" s="62"/>
      <c r="E93" s="62"/>
      <c r="F93" s="62"/>
      <c r="G93" s="62"/>
      <c r="H93" s="62"/>
      <c r="I93" s="62"/>
      <c r="J93" s="62"/>
      <c r="K93" s="62"/>
      <c r="L93" s="62">
        <f>IF(A85="Header",B85,IF(A85="Item",IFERROR(LOOKUP(2,1/($A$2:A85="Header"),$B$2:B85),""),""))</f>
      </c>
      <c r="M93" s="62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 spans="1:26" x14ac:dyDescent="0.25">
      <c r="A94" s="62"/>
      <c r="B94" s="18"/>
      <c r="C94" s="18"/>
      <c r="D94" s="62"/>
      <c r="E94" s="62"/>
      <c r="F94" s="62"/>
      <c r="G94" s="62"/>
      <c r="H94" s="62"/>
      <c r="I94" s="62"/>
      <c r="J94" s="62"/>
      <c r="K94" s="62"/>
      <c r="L94" s="62">
        <f>IF(A83="Header",B83,IF(A83="Item",IFERROR(LOOKUP(2,1/($A$2:A83="Header"),$B$2:B83),""),""))</f>
      </c>
      <c r="M94" s="62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 spans="1:26" x14ac:dyDescent="0.25">
      <c r="A95" s="62"/>
      <c r="B95" s="18"/>
      <c r="C95" s="18"/>
      <c r="D95" s="62"/>
      <c r="E95" s="62"/>
      <c r="F95" s="62"/>
      <c r="G95" s="62"/>
      <c r="H95" s="62"/>
      <c r="I95" s="62"/>
      <c r="J95" s="62"/>
      <c r="K95" s="62"/>
      <c r="L95" s="62">
        <f>IF(A85="Header",B85,IF(A85="Item",IFERROR(LOOKUP(2,1/($A$2:A85="Header"),$B$2:B85),""),""))</f>
      </c>
      <c r="M95" s="62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 spans="1:26" x14ac:dyDescent="0.25">
      <c r="A96" s="62"/>
      <c r="B96" s="18"/>
      <c r="C96" s="18"/>
      <c r="D96" s="62"/>
      <c r="E96" s="62"/>
      <c r="F96" s="62"/>
      <c r="G96" s="62"/>
      <c r="H96" s="62"/>
      <c r="I96" s="62"/>
      <c r="J96" s="62"/>
      <c r="K96" s="62"/>
      <c r="L96" s="62" t="str">
        <f>IF(#REF!="Header",#REF!,IF(#REF!="Item",IFERROR(LOOKUP(2,1/($A$2:A85="Header"),$B$2:B85),""),""))</f>
        <v>#REF!</v>
      </c>
      <c r="M96" s="62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 spans="1:26" x14ac:dyDescent="0.25">
      <c r="A97" s="62"/>
      <c r="B97" s="18"/>
      <c r="C97" s="18"/>
      <c r="D97" s="62"/>
      <c r="E97" s="62"/>
      <c r="F97" s="62"/>
      <c r="G97" s="62"/>
      <c r="H97" s="62"/>
      <c r="I97" s="62"/>
      <c r="J97" s="62"/>
      <c r="K97" s="62"/>
      <c r="L97" s="62" t="str">
        <f>IF(#REF!="Header",#REF!,IF(#REF!="Item",IFERROR(LOOKUP(2,1/($A$2:A85="Header"),$B$2:B85),""),""))</f>
        <v>#REF!</v>
      </c>
      <c r="M97" s="62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 spans="1:26" x14ac:dyDescent="0.25">
      <c r="A98" s="62"/>
      <c r="B98" s="18"/>
      <c r="C98" s="18"/>
      <c r="D98" s="62"/>
      <c r="E98" s="62"/>
      <c r="F98" s="62"/>
      <c r="G98" s="62"/>
      <c r="H98" s="62"/>
      <c r="I98" s="62"/>
      <c r="J98" s="62"/>
      <c r="K98" s="62"/>
      <c r="L98" s="62">
        <f t="shared" ref="L98:L99" si="3">IF(A86="Header",B86,IF(A86="Item",IFERROR(LOOKUP(2,1/($A$2:A86="Header"),$B$2:B86),""),""))</f>
      </c>
      <c r="M98" s="62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 spans="1:26" x14ac:dyDescent="0.25">
      <c r="A99" s="62"/>
      <c r="B99" s="18"/>
      <c r="C99" s="18"/>
      <c r="D99" s="62"/>
      <c r="E99" s="62"/>
      <c r="F99" s="62"/>
      <c r="G99" s="62"/>
      <c r="H99" s="62"/>
      <c r="I99" s="62"/>
      <c r="J99" s="62"/>
      <c r="K99" s="62"/>
      <c r="L99" s="62">
        <f t="shared" si="3"/>
      </c>
      <c r="M99" s="62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 spans="1:26" x14ac:dyDescent="0.25">
      <c r="A100" s="62"/>
      <c r="B100" s="18"/>
      <c r="C100" s="18"/>
      <c r="D100" s="62"/>
      <c r="E100" s="62"/>
      <c r="F100" s="62"/>
      <c r="G100" s="62"/>
      <c r="H100" s="62"/>
      <c r="I100" s="62"/>
      <c r="J100" s="62"/>
      <c r="K100" s="62"/>
      <c r="L100" s="62">
        <f t="shared" ref="L100:L102" si="4">IF(A89="Header",B88,IF(A89="Item",IFERROR(LOOKUP(2,1/($A$2:A89="Header"),$B$2:B88),""),""))</f>
      </c>
      <c r="M100" s="62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 spans="1:26" x14ac:dyDescent="0.25">
      <c r="A101" s="62"/>
      <c r="B101" s="18"/>
      <c r="C101" s="18"/>
      <c r="D101" s="62"/>
      <c r="E101" s="62"/>
      <c r="F101" s="62"/>
      <c r="G101" s="62"/>
      <c r="H101" s="62"/>
      <c r="I101" s="62"/>
      <c r="J101" s="62"/>
      <c r="K101" s="62"/>
      <c r="L101" s="62">
        <f t="shared" si="4"/>
      </c>
      <c r="M101" s="62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 spans="1:26" x14ac:dyDescent="0.25">
      <c r="A102" s="62"/>
      <c r="B102" s="18"/>
      <c r="C102" s="18"/>
      <c r="D102" s="62"/>
      <c r="E102" s="62"/>
      <c r="F102" s="62"/>
      <c r="G102" s="62"/>
      <c r="H102" s="62"/>
      <c r="I102" s="62"/>
      <c r="J102" s="62"/>
      <c r="K102" s="62"/>
      <c r="L102" s="62">
        <f t="shared" si="4"/>
      </c>
      <c r="M102" s="62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 spans="1:26" x14ac:dyDescent="0.25">
      <c r="A103" s="62"/>
      <c r="B103" s="18"/>
      <c r="C103" s="18"/>
      <c r="D103" s="62"/>
      <c r="E103" s="62"/>
      <c r="F103" s="62"/>
      <c r="G103" s="62"/>
      <c r="H103" s="62"/>
      <c r="I103" s="62"/>
      <c r="J103" s="62"/>
      <c r="K103" s="62"/>
      <c r="L103" s="62">
        <f t="shared" ref="L103:L992" si="5">IF(A92="Header",B92,IF(A92="Item",IFERROR(LOOKUP(2,1/($A$2:A92="Header"),$B$2:B92),""),""))</f>
      </c>
      <c r="M103" s="62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 spans="1:26" x14ac:dyDescent="0.25">
      <c r="A104" s="62"/>
      <c r="B104" s="18"/>
      <c r="C104" s="18"/>
      <c r="D104" s="62"/>
      <c r="E104" s="62"/>
      <c r="F104" s="62"/>
      <c r="G104" s="62"/>
      <c r="H104" s="62"/>
      <c r="I104" s="62"/>
      <c r="J104" s="62"/>
      <c r="K104" s="62"/>
      <c r="L104" s="62">
        <f t="shared" si="5"/>
      </c>
      <c r="M104" s="62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 spans="1:26" x14ac:dyDescent="0.25">
      <c r="A105" s="62"/>
      <c r="B105" s="18"/>
      <c r="C105" s="18"/>
      <c r="D105" s="62"/>
      <c r="E105" s="62"/>
      <c r="F105" s="62"/>
      <c r="G105" s="62"/>
      <c r="H105" s="62"/>
      <c r="I105" s="62"/>
      <c r="J105" s="62"/>
      <c r="K105" s="62"/>
      <c r="L105" s="62">
        <f t="shared" si="5"/>
      </c>
      <c r="M105" s="62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 spans="1:26" x14ac:dyDescent="0.25">
      <c r="A106" s="62"/>
      <c r="B106" s="18"/>
      <c r="C106" s="18"/>
      <c r="D106" s="62"/>
      <c r="E106" s="62"/>
      <c r="F106" s="62"/>
      <c r="G106" s="62"/>
      <c r="H106" s="62"/>
      <c r="I106" s="62"/>
      <c r="J106" s="62"/>
      <c r="K106" s="62"/>
      <c r="L106" s="62">
        <f t="shared" si="5"/>
      </c>
      <c r="M106" s="62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 spans="1:26" x14ac:dyDescent="0.25">
      <c r="A107" s="62"/>
      <c r="B107" s="18"/>
      <c r="C107" s="18"/>
      <c r="D107" s="62"/>
      <c r="E107" s="62"/>
      <c r="F107" s="62"/>
      <c r="G107" s="62"/>
      <c r="H107" s="62"/>
      <c r="I107" s="62"/>
      <c r="J107" s="62"/>
      <c r="K107" s="62"/>
      <c r="L107" s="62">
        <f t="shared" si="5"/>
      </c>
      <c r="M107" s="62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 spans="1:26" x14ac:dyDescent="0.25">
      <c r="A108" s="62"/>
      <c r="B108" s="18"/>
      <c r="C108" s="18"/>
      <c r="D108" s="62"/>
      <c r="E108" s="62"/>
      <c r="F108" s="62"/>
      <c r="G108" s="62"/>
      <c r="H108" s="62"/>
      <c r="I108" s="62"/>
      <c r="J108" s="62"/>
      <c r="K108" s="62"/>
      <c r="L108" s="62">
        <f t="shared" si="5"/>
      </c>
      <c r="M108" s="62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 spans="1:26" x14ac:dyDescent="0.25">
      <c r="A109" s="62"/>
      <c r="B109" s="18"/>
      <c r="C109" s="18"/>
      <c r="D109" s="62"/>
      <c r="E109" s="62"/>
      <c r="F109" s="62"/>
      <c r="G109" s="62"/>
      <c r="H109" s="62"/>
      <c r="I109" s="62"/>
      <c r="J109" s="62"/>
      <c r="K109" s="62"/>
      <c r="L109" s="62">
        <f t="shared" si="5"/>
      </c>
      <c r="M109" s="62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 spans="1:26" x14ac:dyDescent="0.25">
      <c r="A110" s="62"/>
      <c r="B110" s="18"/>
      <c r="C110" s="18"/>
      <c r="D110" s="62"/>
      <c r="E110" s="62"/>
      <c r="F110" s="62"/>
      <c r="G110" s="62"/>
      <c r="H110" s="62"/>
      <c r="I110" s="62"/>
      <c r="J110" s="62"/>
      <c r="K110" s="62"/>
      <c r="L110" s="62">
        <f t="shared" si="5"/>
      </c>
      <c r="M110" s="62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 spans="1:26" x14ac:dyDescent="0.25">
      <c r="A111" s="62"/>
      <c r="B111" s="18"/>
      <c r="C111" s="18"/>
      <c r="D111" s="62"/>
      <c r="E111" s="62"/>
      <c r="F111" s="62"/>
      <c r="G111" s="62"/>
      <c r="H111" s="62"/>
      <c r="I111" s="62"/>
      <c r="J111" s="62"/>
      <c r="K111" s="62"/>
      <c r="L111" s="62">
        <f t="shared" si="5"/>
      </c>
      <c r="M111" s="62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 spans="1:26" x14ac:dyDescent="0.25">
      <c r="A112" s="62"/>
      <c r="B112" s="18"/>
      <c r="C112" s="18"/>
      <c r="D112" s="62"/>
      <c r="E112" s="62"/>
      <c r="F112" s="62"/>
      <c r="G112" s="62"/>
      <c r="H112" s="62"/>
      <c r="I112" s="62"/>
      <c r="J112" s="62"/>
      <c r="K112" s="62"/>
      <c r="L112" s="62">
        <f t="shared" si="5"/>
      </c>
      <c r="M112" s="62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 spans="1:26" x14ac:dyDescent="0.25">
      <c r="A113" s="62"/>
      <c r="B113" s="18"/>
      <c r="C113" s="18"/>
      <c r="D113" s="62"/>
      <c r="E113" s="62"/>
      <c r="F113" s="62"/>
      <c r="G113" s="62"/>
      <c r="H113" s="62"/>
      <c r="I113" s="62"/>
      <c r="J113" s="62"/>
      <c r="K113" s="62"/>
      <c r="L113" s="62">
        <f t="shared" si="5"/>
      </c>
      <c r="M113" s="62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 spans="1:26" x14ac:dyDescent="0.25">
      <c r="A114" s="62"/>
      <c r="B114" s="18"/>
      <c r="C114" s="18"/>
      <c r="D114" s="62"/>
      <c r="E114" s="62"/>
      <c r="F114" s="62"/>
      <c r="G114" s="62"/>
      <c r="H114" s="62"/>
      <c r="I114" s="62"/>
      <c r="J114" s="62"/>
      <c r="K114" s="62"/>
      <c r="L114" s="62">
        <f t="shared" si="5"/>
      </c>
      <c r="M114" s="62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 spans="1:26" x14ac:dyDescent="0.25">
      <c r="A115" s="62"/>
      <c r="B115" s="18"/>
      <c r="C115" s="18"/>
      <c r="D115" s="62"/>
      <c r="E115" s="62"/>
      <c r="F115" s="62"/>
      <c r="G115" s="62"/>
      <c r="H115" s="62"/>
      <c r="I115" s="62"/>
      <c r="J115" s="62"/>
      <c r="K115" s="62"/>
      <c r="L115" s="62">
        <f t="shared" si="5"/>
      </c>
      <c r="M115" s="62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 spans="1:26" x14ac:dyDescent="0.25">
      <c r="A116" s="62"/>
      <c r="B116" s="18"/>
      <c r="C116" s="18"/>
      <c r="D116" s="62"/>
      <c r="E116" s="62"/>
      <c r="F116" s="62"/>
      <c r="G116" s="62"/>
      <c r="H116" s="62"/>
      <c r="I116" s="62"/>
      <c r="J116" s="62"/>
      <c r="K116" s="62"/>
      <c r="L116" s="62">
        <f t="shared" si="5"/>
      </c>
      <c r="M116" s="62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 spans="1:26" x14ac:dyDescent="0.25">
      <c r="A117" s="62"/>
      <c r="B117" s="18"/>
      <c r="C117" s="18"/>
      <c r="D117" s="62"/>
      <c r="E117" s="62"/>
      <c r="F117" s="62"/>
      <c r="G117" s="62"/>
      <c r="H117" s="62"/>
      <c r="I117" s="62"/>
      <c r="J117" s="62"/>
      <c r="K117" s="62"/>
      <c r="L117" s="62">
        <f t="shared" si="5"/>
      </c>
      <c r="M117" s="62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 spans="1:26" x14ac:dyDescent="0.25">
      <c r="A118" s="62"/>
      <c r="B118" s="18"/>
      <c r="C118" s="18"/>
      <c r="D118" s="62"/>
      <c r="E118" s="62"/>
      <c r="F118" s="62"/>
      <c r="G118" s="62"/>
      <c r="H118" s="62"/>
      <c r="I118" s="62"/>
      <c r="J118" s="62"/>
      <c r="K118" s="62"/>
      <c r="L118" s="62">
        <f t="shared" si="5"/>
      </c>
      <c r="M118" s="62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 spans="1:26" x14ac:dyDescent="0.25">
      <c r="A119" s="62"/>
      <c r="B119" s="18"/>
      <c r="C119" s="18"/>
      <c r="D119" s="62"/>
      <c r="E119" s="62"/>
      <c r="F119" s="62"/>
      <c r="G119" s="62"/>
      <c r="H119" s="62"/>
      <c r="I119" s="62"/>
      <c r="J119" s="62"/>
      <c r="K119" s="62"/>
      <c r="L119" s="62">
        <f t="shared" si="5"/>
      </c>
      <c r="M119" s="62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 spans="1:26" x14ac:dyDescent="0.25">
      <c r="A120" s="62"/>
      <c r="B120" s="18"/>
      <c r="C120" s="18"/>
      <c r="D120" s="62"/>
      <c r="E120" s="62"/>
      <c r="F120" s="62"/>
      <c r="G120" s="62"/>
      <c r="H120" s="62"/>
      <c r="I120" s="62"/>
      <c r="J120" s="62"/>
      <c r="K120" s="62"/>
      <c r="L120" s="62">
        <f t="shared" si="5"/>
      </c>
      <c r="M120" s="62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 spans="1:26" x14ac:dyDescent="0.25">
      <c r="A121" s="62"/>
      <c r="B121" s="18"/>
      <c r="C121" s="18"/>
      <c r="D121" s="62"/>
      <c r="E121" s="62"/>
      <c r="F121" s="62"/>
      <c r="G121" s="62"/>
      <c r="H121" s="62"/>
      <c r="I121" s="62"/>
      <c r="J121" s="62"/>
      <c r="K121" s="62"/>
      <c r="L121" s="62">
        <f t="shared" si="5"/>
      </c>
      <c r="M121" s="62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 spans="1:26" x14ac:dyDescent="0.25">
      <c r="A122" s="62"/>
      <c r="B122" s="18"/>
      <c r="C122" s="18"/>
      <c r="D122" s="62"/>
      <c r="E122" s="62"/>
      <c r="F122" s="62"/>
      <c r="G122" s="62"/>
      <c r="H122" s="62"/>
      <c r="I122" s="62"/>
      <c r="J122" s="62"/>
      <c r="K122" s="62"/>
      <c r="L122" s="62">
        <f t="shared" si="5"/>
      </c>
      <c r="M122" s="62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 spans="1:26" x14ac:dyDescent="0.25">
      <c r="A123" s="62"/>
      <c r="B123" s="18"/>
      <c r="C123" s="18"/>
      <c r="D123" s="62"/>
      <c r="E123" s="62"/>
      <c r="F123" s="62"/>
      <c r="G123" s="62"/>
      <c r="H123" s="62"/>
      <c r="I123" s="62"/>
      <c r="J123" s="62"/>
      <c r="K123" s="62"/>
      <c r="L123" s="62">
        <f t="shared" si="5"/>
      </c>
      <c r="M123" s="62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 spans="1:26" x14ac:dyDescent="0.25">
      <c r="A124" s="62"/>
      <c r="B124" s="18"/>
      <c r="C124" s="18"/>
      <c r="D124" s="62"/>
      <c r="E124" s="62"/>
      <c r="F124" s="62"/>
      <c r="G124" s="62"/>
      <c r="H124" s="62"/>
      <c r="I124" s="62"/>
      <c r="J124" s="62"/>
      <c r="K124" s="62"/>
      <c r="L124" s="62">
        <f t="shared" si="5"/>
      </c>
      <c r="M124" s="62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 spans="1:26" x14ac:dyDescent="0.25">
      <c r="A125" s="62"/>
      <c r="B125" s="18"/>
      <c r="C125" s="18"/>
      <c r="D125" s="62"/>
      <c r="E125" s="62"/>
      <c r="F125" s="62"/>
      <c r="G125" s="62"/>
      <c r="H125" s="62"/>
      <c r="I125" s="62"/>
      <c r="J125" s="62"/>
      <c r="K125" s="62"/>
      <c r="L125" s="62">
        <f t="shared" si="5"/>
      </c>
      <c r="M125" s="62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 spans="1:26" x14ac:dyDescent="0.25">
      <c r="A126" s="62"/>
      <c r="B126" s="18"/>
      <c r="C126" s="18"/>
      <c r="D126" s="62"/>
      <c r="E126" s="62"/>
      <c r="F126" s="62"/>
      <c r="G126" s="62"/>
      <c r="H126" s="62"/>
      <c r="I126" s="62"/>
      <c r="J126" s="62"/>
      <c r="K126" s="62"/>
      <c r="L126" s="62">
        <f t="shared" si="5"/>
      </c>
      <c r="M126" s="62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 spans="1:26" x14ac:dyDescent="0.25">
      <c r="A127" s="62"/>
      <c r="B127" s="18"/>
      <c r="C127" s="18"/>
      <c r="D127" s="62"/>
      <c r="E127" s="62"/>
      <c r="F127" s="62"/>
      <c r="G127" s="62"/>
      <c r="H127" s="62"/>
      <c r="I127" s="62"/>
      <c r="J127" s="62"/>
      <c r="K127" s="62"/>
      <c r="L127" s="62">
        <f t="shared" si="5"/>
      </c>
      <c r="M127" s="62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 spans="1:26" x14ac:dyDescent="0.25">
      <c r="A128" s="62"/>
      <c r="B128" s="18"/>
      <c r="C128" s="18"/>
      <c r="D128" s="62"/>
      <c r="E128" s="62"/>
      <c r="F128" s="62"/>
      <c r="G128" s="62"/>
      <c r="H128" s="62"/>
      <c r="I128" s="62"/>
      <c r="J128" s="62"/>
      <c r="K128" s="62"/>
      <c r="L128" s="62">
        <f t="shared" si="5"/>
      </c>
      <c r="M128" s="62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 spans="1:26" x14ac:dyDescent="0.25">
      <c r="A129" s="62"/>
      <c r="B129" s="18"/>
      <c r="C129" s="18"/>
      <c r="D129" s="62"/>
      <c r="E129" s="62"/>
      <c r="F129" s="62"/>
      <c r="G129" s="62"/>
      <c r="H129" s="62"/>
      <c r="I129" s="62"/>
      <c r="J129" s="62"/>
      <c r="K129" s="62"/>
      <c r="L129" s="62">
        <f t="shared" si="5"/>
      </c>
      <c r="M129" s="62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 spans="1:26" x14ac:dyDescent="0.25">
      <c r="A130" s="62"/>
      <c r="B130" s="18"/>
      <c r="C130" s="18"/>
      <c r="D130" s="62"/>
      <c r="E130" s="62"/>
      <c r="F130" s="62"/>
      <c r="G130" s="62"/>
      <c r="H130" s="62"/>
      <c r="I130" s="62"/>
      <c r="J130" s="62"/>
      <c r="K130" s="62"/>
      <c r="L130" s="62">
        <f t="shared" si="5"/>
      </c>
      <c r="M130" s="62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 spans="1:26" x14ac:dyDescent="0.25">
      <c r="A131" s="62"/>
      <c r="B131" s="18"/>
      <c r="C131" s="18"/>
      <c r="D131" s="62"/>
      <c r="E131" s="62"/>
      <c r="F131" s="62"/>
      <c r="G131" s="62"/>
      <c r="H131" s="62"/>
      <c r="I131" s="62"/>
      <c r="J131" s="62"/>
      <c r="K131" s="62"/>
      <c r="L131" s="62">
        <f t="shared" si="5"/>
      </c>
      <c r="M131" s="62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 spans="1:26" x14ac:dyDescent="0.25">
      <c r="A132" s="62"/>
      <c r="B132" s="18"/>
      <c r="C132" s="18"/>
      <c r="D132" s="62"/>
      <c r="E132" s="62"/>
      <c r="F132" s="62"/>
      <c r="G132" s="62"/>
      <c r="H132" s="62"/>
      <c r="I132" s="62"/>
      <c r="J132" s="62"/>
      <c r="K132" s="62"/>
      <c r="L132" s="62">
        <f t="shared" si="5"/>
      </c>
      <c r="M132" s="62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 spans="1:26" x14ac:dyDescent="0.25">
      <c r="A133" s="62"/>
      <c r="B133" s="18"/>
      <c r="C133" s="18"/>
      <c r="D133" s="62"/>
      <c r="E133" s="62"/>
      <c r="F133" s="62"/>
      <c r="G133" s="62"/>
      <c r="H133" s="62"/>
      <c r="I133" s="62"/>
      <c r="J133" s="62"/>
      <c r="K133" s="62"/>
      <c r="L133" s="62">
        <f t="shared" si="5"/>
      </c>
      <c r="M133" s="62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 spans="1:26" x14ac:dyDescent="0.25">
      <c r="A134" s="62"/>
      <c r="B134" s="18"/>
      <c r="C134" s="18"/>
      <c r="D134" s="62"/>
      <c r="E134" s="62"/>
      <c r="F134" s="62"/>
      <c r="G134" s="62"/>
      <c r="H134" s="62"/>
      <c r="I134" s="62"/>
      <c r="J134" s="62"/>
      <c r="K134" s="62"/>
      <c r="L134" s="62">
        <f t="shared" si="5"/>
      </c>
      <c r="M134" s="62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 spans="1:26" x14ac:dyDescent="0.25">
      <c r="A135" s="62"/>
      <c r="B135" s="18"/>
      <c r="C135" s="18"/>
      <c r="D135" s="62"/>
      <c r="E135" s="62"/>
      <c r="F135" s="62"/>
      <c r="G135" s="62"/>
      <c r="H135" s="62"/>
      <c r="I135" s="62"/>
      <c r="J135" s="62"/>
      <c r="K135" s="62"/>
      <c r="L135" s="62">
        <f t="shared" si="5"/>
      </c>
      <c r="M135" s="62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 spans="1:26" x14ac:dyDescent="0.25">
      <c r="A136" s="62"/>
      <c r="B136" s="18"/>
      <c r="C136" s="18"/>
      <c r="D136" s="62"/>
      <c r="E136" s="62"/>
      <c r="F136" s="62"/>
      <c r="G136" s="62"/>
      <c r="H136" s="62"/>
      <c r="I136" s="62"/>
      <c r="J136" s="62"/>
      <c r="K136" s="62"/>
      <c r="L136" s="62">
        <f t="shared" si="5"/>
      </c>
      <c r="M136" s="62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 spans="1:26" x14ac:dyDescent="0.25">
      <c r="A137" s="62"/>
      <c r="B137" s="18"/>
      <c r="C137" s="18"/>
      <c r="D137" s="62"/>
      <c r="E137" s="62"/>
      <c r="F137" s="62"/>
      <c r="G137" s="62"/>
      <c r="H137" s="62"/>
      <c r="I137" s="62"/>
      <c r="J137" s="62"/>
      <c r="K137" s="62"/>
      <c r="L137" s="62">
        <f t="shared" si="5"/>
      </c>
      <c r="M137" s="62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 spans="1:26" x14ac:dyDescent="0.25">
      <c r="A138" s="62"/>
      <c r="B138" s="18"/>
      <c r="C138" s="18"/>
      <c r="D138" s="62"/>
      <c r="E138" s="62"/>
      <c r="F138" s="62"/>
      <c r="G138" s="62"/>
      <c r="H138" s="62"/>
      <c r="I138" s="62"/>
      <c r="J138" s="62"/>
      <c r="K138" s="62"/>
      <c r="L138" s="62">
        <f t="shared" si="5"/>
      </c>
      <c r="M138" s="62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 spans="1:26" x14ac:dyDescent="0.25">
      <c r="A139" s="62"/>
      <c r="B139" s="18"/>
      <c r="C139" s="18"/>
      <c r="D139" s="62"/>
      <c r="E139" s="62"/>
      <c r="F139" s="62"/>
      <c r="G139" s="62"/>
      <c r="H139" s="62"/>
      <c r="I139" s="62"/>
      <c r="J139" s="62"/>
      <c r="K139" s="62"/>
      <c r="L139" s="62">
        <f t="shared" si="5"/>
      </c>
      <c r="M139" s="62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 spans="1:26" x14ac:dyDescent="0.25">
      <c r="A140" s="62"/>
      <c r="B140" s="18"/>
      <c r="C140" s="18"/>
      <c r="D140" s="62"/>
      <c r="E140" s="62"/>
      <c r="F140" s="62"/>
      <c r="G140" s="62"/>
      <c r="H140" s="62"/>
      <c r="I140" s="62"/>
      <c r="J140" s="62"/>
      <c r="K140" s="62"/>
      <c r="L140" s="62">
        <f t="shared" si="5"/>
      </c>
      <c r="M140" s="62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 spans="1:26" x14ac:dyDescent="0.25">
      <c r="A141" s="62"/>
      <c r="B141" s="18"/>
      <c r="C141" s="18"/>
      <c r="D141" s="62"/>
      <c r="E141" s="62"/>
      <c r="F141" s="62"/>
      <c r="G141" s="62"/>
      <c r="H141" s="62"/>
      <c r="I141" s="62"/>
      <c r="J141" s="62"/>
      <c r="K141" s="62"/>
      <c r="L141" s="62">
        <f t="shared" si="5"/>
      </c>
      <c r="M141" s="62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 spans="1:26" x14ac:dyDescent="0.25">
      <c r="A142" s="62"/>
      <c r="B142" s="18"/>
      <c r="C142" s="18"/>
      <c r="D142" s="62"/>
      <c r="E142" s="62"/>
      <c r="F142" s="62"/>
      <c r="G142" s="62"/>
      <c r="H142" s="62"/>
      <c r="I142" s="62"/>
      <c r="J142" s="62"/>
      <c r="K142" s="62"/>
      <c r="L142" s="62">
        <f t="shared" si="5"/>
      </c>
      <c r="M142" s="62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 spans="1:26" x14ac:dyDescent="0.25">
      <c r="A143" s="62"/>
      <c r="B143" s="18"/>
      <c r="C143" s="18"/>
      <c r="D143" s="62"/>
      <c r="E143" s="62"/>
      <c r="F143" s="62"/>
      <c r="G143" s="62"/>
      <c r="H143" s="62"/>
      <c r="I143" s="62"/>
      <c r="J143" s="62"/>
      <c r="K143" s="62"/>
      <c r="L143" s="62">
        <f t="shared" si="5"/>
      </c>
      <c r="M143" s="62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 spans="1:26" x14ac:dyDescent="0.25">
      <c r="A144" s="62"/>
      <c r="B144" s="18"/>
      <c r="C144" s="18"/>
      <c r="D144" s="62"/>
      <c r="E144" s="62"/>
      <c r="F144" s="62"/>
      <c r="G144" s="62"/>
      <c r="H144" s="62"/>
      <c r="I144" s="62"/>
      <c r="J144" s="62"/>
      <c r="K144" s="62"/>
      <c r="L144" s="62">
        <f t="shared" si="5"/>
      </c>
      <c r="M144" s="62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 spans="1:26" x14ac:dyDescent="0.25">
      <c r="A145" s="62"/>
      <c r="B145" s="18"/>
      <c r="C145" s="18"/>
      <c r="D145" s="62"/>
      <c r="E145" s="62"/>
      <c r="F145" s="62"/>
      <c r="G145" s="62"/>
      <c r="H145" s="62"/>
      <c r="I145" s="62"/>
      <c r="J145" s="62"/>
      <c r="K145" s="62"/>
      <c r="L145" s="62">
        <f t="shared" si="5"/>
      </c>
      <c r="M145" s="62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 spans="1:26" x14ac:dyDescent="0.25">
      <c r="A146" s="62"/>
      <c r="B146" s="18"/>
      <c r="C146" s="18"/>
      <c r="D146" s="62"/>
      <c r="E146" s="62"/>
      <c r="F146" s="62"/>
      <c r="G146" s="62"/>
      <c r="H146" s="62"/>
      <c r="I146" s="62"/>
      <c r="J146" s="62"/>
      <c r="K146" s="62"/>
      <c r="L146" s="62">
        <f t="shared" si="5"/>
      </c>
      <c r="M146" s="62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 spans="1:26" x14ac:dyDescent="0.25">
      <c r="A147" s="62"/>
      <c r="B147" s="18"/>
      <c r="C147" s="18"/>
      <c r="D147" s="62"/>
      <c r="E147" s="62"/>
      <c r="F147" s="62"/>
      <c r="G147" s="62"/>
      <c r="H147" s="62"/>
      <c r="I147" s="62"/>
      <c r="J147" s="62"/>
      <c r="K147" s="62"/>
      <c r="L147" s="62">
        <f t="shared" si="5"/>
      </c>
      <c r="M147" s="62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 spans="1:26" x14ac:dyDescent="0.25">
      <c r="A148" s="62"/>
      <c r="B148" s="18"/>
      <c r="C148" s="18"/>
      <c r="D148" s="62"/>
      <c r="E148" s="62"/>
      <c r="F148" s="62"/>
      <c r="G148" s="62"/>
      <c r="H148" s="62"/>
      <c r="I148" s="62"/>
      <c r="J148" s="62"/>
      <c r="K148" s="62"/>
      <c r="L148" s="62">
        <f t="shared" si="5"/>
      </c>
      <c r="M148" s="62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 spans="1:26" x14ac:dyDescent="0.25">
      <c r="A149" s="62"/>
      <c r="B149" s="18"/>
      <c r="C149" s="18"/>
      <c r="D149" s="62"/>
      <c r="E149" s="62"/>
      <c r="F149" s="62"/>
      <c r="G149" s="62"/>
      <c r="H149" s="62"/>
      <c r="I149" s="62"/>
      <c r="J149" s="62"/>
      <c r="K149" s="62"/>
      <c r="L149" s="62">
        <f t="shared" si="5"/>
      </c>
      <c r="M149" s="62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 spans="1:26" x14ac:dyDescent="0.25">
      <c r="A150" s="62"/>
      <c r="B150" s="18"/>
      <c r="C150" s="18"/>
      <c r="D150" s="62"/>
      <c r="E150" s="62"/>
      <c r="F150" s="62"/>
      <c r="G150" s="62"/>
      <c r="H150" s="62"/>
      <c r="I150" s="62"/>
      <c r="J150" s="62"/>
      <c r="K150" s="62"/>
      <c r="L150" s="62">
        <f t="shared" si="5"/>
      </c>
      <c r="M150" s="62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 spans="1:26" x14ac:dyDescent="0.25">
      <c r="A151" s="62"/>
      <c r="B151" s="18"/>
      <c r="C151" s="18"/>
      <c r="D151" s="62"/>
      <c r="E151" s="62"/>
      <c r="F151" s="62"/>
      <c r="G151" s="62"/>
      <c r="H151" s="62"/>
      <c r="I151" s="62"/>
      <c r="J151" s="62"/>
      <c r="K151" s="62"/>
      <c r="L151" s="62">
        <f t="shared" si="5"/>
      </c>
      <c r="M151" s="62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 spans="1:26" x14ac:dyDescent="0.25">
      <c r="A152" s="62"/>
      <c r="B152" s="18"/>
      <c r="C152" s="18"/>
      <c r="D152" s="62"/>
      <c r="E152" s="62"/>
      <c r="F152" s="62"/>
      <c r="G152" s="62"/>
      <c r="H152" s="62"/>
      <c r="I152" s="62"/>
      <c r="J152" s="62"/>
      <c r="K152" s="62"/>
      <c r="L152" s="62">
        <f t="shared" si="5"/>
      </c>
      <c r="M152" s="62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 spans="1:26" x14ac:dyDescent="0.25">
      <c r="A153" s="62"/>
      <c r="B153" s="18"/>
      <c r="C153" s="18"/>
      <c r="D153" s="62"/>
      <c r="E153" s="62"/>
      <c r="F153" s="62"/>
      <c r="G153" s="62"/>
      <c r="H153" s="62"/>
      <c r="I153" s="62"/>
      <c r="J153" s="62"/>
      <c r="K153" s="62"/>
      <c r="L153" s="62">
        <f t="shared" si="5"/>
      </c>
      <c r="M153" s="62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 spans="1:26" x14ac:dyDescent="0.25">
      <c r="A154" s="62"/>
      <c r="B154" s="18"/>
      <c r="C154" s="18"/>
      <c r="D154" s="62"/>
      <c r="E154" s="62"/>
      <c r="F154" s="62"/>
      <c r="G154" s="62"/>
      <c r="H154" s="62"/>
      <c r="I154" s="62"/>
      <c r="J154" s="62"/>
      <c r="K154" s="62"/>
      <c r="L154" s="62">
        <f t="shared" si="5"/>
      </c>
      <c r="M154" s="62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 spans="1:26" x14ac:dyDescent="0.25">
      <c r="A155" s="62"/>
      <c r="B155" s="18"/>
      <c r="C155" s="18"/>
      <c r="D155" s="62"/>
      <c r="E155" s="62"/>
      <c r="F155" s="62"/>
      <c r="G155" s="62"/>
      <c r="H155" s="62"/>
      <c r="I155" s="62"/>
      <c r="J155" s="62"/>
      <c r="K155" s="62"/>
      <c r="L155" s="62">
        <f t="shared" si="5"/>
      </c>
      <c r="M155" s="62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 spans="1:26" x14ac:dyDescent="0.25">
      <c r="A156" s="62"/>
      <c r="B156" s="18"/>
      <c r="C156" s="18"/>
      <c r="D156" s="62"/>
      <c r="E156" s="62"/>
      <c r="F156" s="62"/>
      <c r="G156" s="62"/>
      <c r="H156" s="62"/>
      <c r="I156" s="62"/>
      <c r="J156" s="62"/>
      <c r="K156" s="62"/>
      <c r="L156" s="62">
        <f t="shared" si="5"/>
      </c>
      <c r="M156" s="62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 spans="1:26" x14ac:dyDescent="0.25">
      <c r="A157" s="62"/>
      <c r="B157" s="18"/>
      <c r="C157" s="18"/>
      <c r="D157" s="62"/>
      <c r="E157" s="62"/>
      <c r="F157" s="62"/>
      <c r="G157" s="62"/>
      <c r="H157" s="62"/>
      <c r="I157" s="62"/>
      <c r="J157" s="62"/>
      <c r="K157" s="62"/>
      <c r="L157" s="62">
        <f t="shared" si="5"/>
      </c>
      <c r="M157" s="62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 spans="1:26" x14ac:dyDescent="0.25">
      <c r="A158" s="62"/>
      <c r="B158" s="18"/>
      <c r="C158" s="18"/>
      <c r="D158" s="62"/>
      <c r="E158" s="62"/>
      <c r="F158" s="62"/>
      <c r="G158" s="62"/>
      <c r="H158" s="62"/>
      <c r="I158" s="62"/>
      <c r="J158" s="62"/>
      <c r="K158" s="62"/>
      <c r="L158" s="62">
        <f t="shared" si="5"/>
      </c>
      <c r="M158" s="62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 spans="1:26" x14ac:dyDescent="0.25">
      <c r="A159" s="62"/>
      <c r="B159" s="18"/>
      <c r="C159" s="18"/>
      <c r="D159" s="62"/>
      <c r="E159" s="62"/>
      <c r="F159" s="62"/>
      <c r="G159" s="62"/>
      <c r="H159" s="62"/>
      <c r="I159" s="62"/>
      <c r="J159" s="62"/>
      <c r="K159" s="62"/>
      <c r="L159" s="62">
        <f t="shared" si="5"/>
      </c>
      <c r="M159" s="62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 spans="1:26" x14ac:dyDescent="0.25">
      <c r="A160" s="62"/>
      <c r="B160" s="18"/>
      <c r="C160" s="18"/>
      <c r="D160" s="62"/>
      <c r="E160" s="62"/>
      <c r="F160" s="62"/>
      <c r="G160" s="62"/>
      <c r="H160" s="62"/>
      <c r="I160" s="62"/>
      <c r="J160" s="62"/>
      <c r="K160" s="62"/>
      <c r="L160" s="62">
        <f t="shared" si="5"/>
      </c>
      <c r="M160" s="62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 spans="1:26" x14ac:dyDescent="0.25">
      <c r="A161" s="62"/>
      <c r="B161" s="18"/>
      <c r="C161" s="18"/>
      <c r="D161" s="62"/>
      <c r="E161" s="62"/>
      <c r="F161" s="62"/>
      <c r="G161" s="62"/>
      <c r="H161" s="62"/>
      <c r="I161" s="62"/>
      <c r="J161" s="62"/>
      <c r="K161" s="62"/>
      <c r="L161" s="62">
        <f t="shared" si="5"/>
      </c>
      <c r="M161" s="62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 spans="1:26" x14ac:dyDescent="0.25">
      <c r="A162" s="62"/>
      <c r="B162" s="18"/>
      <c r="C162" s="18"/>
      <c r="D162" s="62"/>
      <c r="E162" s="62"/>
      <c r="F162" s="62"/>
      <c r="G162" s="62"/>
      <c r="H162" s="62"/>
      <c r="I162" s="62"/>
      <c r="J162" s="62"/>
      <c r="K162" s="62"/>
      <c r="L162" s="62">
        <f t="shared" si="5"/>
      </c>
      <c r="M162" s="62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 spans="1:26" x14ac:dyDescent="0.25">
      <c r="A163" s="62"/>
      <c r="B163" s="18"/>
      <c r="C163" s="18"/>
      <c r="D163" s="62"/>
      <c r="E163" s="62"/>
      <c r="F163" s="62"/>
      <c r="G163" s="62"/>
      <c r="H163" s="62"/>
      <c r="I163" s="62"/>
      <c r="J163" s="62"/>
      <c r="K163" s="62"/>
      <c r="L163" s="62">
        <f t="shared" si="5"/>
      </c>
      <c r="M163" s="62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 spans="1:26" x14ac:dyDescent="0.25">
      <c r="A164" s="62"/>
      <c r="B164" s="18"/>
      <c r="C164" s="18"/>
      <c r="D164" s="62"/>
      <c r="E164" s="62"/>
      <c r="F164" s="62"/>
      <c r="G164" s="62"/>
      <c r="H164" s="62"/>
      <c r="I164" s="62"/>
      <c r="J164" s="62"/>
      <c r="K164" s="62"/>
      <c r="L164" s="62">
        <f t="shared" si="5"/>
      </c>
      <c r="M164" s="62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 spans="1:26" x14ac:dyDescent="0.25">
      <c r="A165" s="62"/>
      <c r="B165" s="18"/>
      <c r="C165" s="18"/>
      <c r="D165" s="62"/>
      <c r="E165" s="62"/>
      <c r="F165" s="62"/>
      <c r="G165" s="62"/>
      <c r="H165" s="62"/>
      <c r="I165" s="62"/>
      <c r="J165" s="62"/>
      <c r="K165" s="62"/>
      <c r="L165" s="62">
        <f t="shared" si="5"/>
      </c>
      <c r="M165" s="62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 spans="1:26" x14ac:dyDescent="0.25">
      <c r="A166" s="62"/>
      <c r="B166" s="18"/>
      <c r="C166" s="18"/>
      <c r="D166" s="62"/>
      <c r="E166" s="62"/>
      <c r="F166" s="62"/>
      <c r="G166" s="62"/>
      <c r="H166" s="62"/>
      <c r="I166" s="62"/>
      <c r="J166" s="62"/>
      <c r="K166" s="62"/>
      <c r="L166" s="62">
        <f t="shared" si="5"/>
      </c>
      <c r="M166" s="62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 spans="1:26" x14ac:dyDescent="0.25">
      <c r="A167" s="62"/>
      <c r="B167" s="18"/>
      <c r="C167" s="18"/>
      <c r="D167" s="62"/>
      <c r="E167" s="62"/>
      <c r="F167" s="62"/>
      <c r="G167" s="62"/>
      <c r="H167" s="62"/>
      <c r="I167" s="62"/>
      <c r="J167" s="62"/>
      <c r="K167" s="62"/>
      <c r="L167" s="62">
        <f t="shared" si="5"/>
      </c>
      <c r="M167" s="62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 spans="1:26" x14ac:dyDescent="0.25">
      <c r="A168" s="62"/>
      <c r="B168" s="18"/>
      <c r="C168" s="18"/>
      <c r="D168" s="62"/>
      <c r="E168" s="62"/>
      <c r="F168" s="62"/>
      <c r="G168" s="62"/>
      <c r="H168" s="62"/>
      <c r="I168" s="62"/>
      <c r="J168" s="62"/>
      <c r="K168" s="62"/>
      <c r="L168" s="62">
        <f t="shared" si="5"/>
      </c>
      <c r="M168" s="62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 spans="1:26" x14ac:dyDescent="0.25">
      <c r="A169" s="62"/>
      <c r="B169" s="18"/>
      <c r="C169" s="18"/>
      <c r="D169" s="62"/>
      <c r="E169" s="62"/>
      <c r="F169" s="62"/>
      <c r="G169" s="62"/>
      <c r="H169" s="62"/>
      <c r="I169" s="62"/>
      <c r="J169" s="62"/>
      <c r="K169" s="62"/>
      <c r="L169" s="62">
        <f t="shared" si="5"/>
      </c>
      <c r="M169" s="62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 spans="1:26" x14ac:dyDescent="0.25">
      <c r="A170" s="62"/>
      <c r="B170" s="18"/>
      <c r="C170" s="18"/>
      <c r="D170" s="62"/>
      <c r="E170" s="62"/>
      <c r="F170" s="62"/>
      <c r="G170" s="62"/>
      <c r="H170" s="62"/>
      <c r="I170" s="62"/>
      <c r="J170" s="62"/>
      <c r="K170" s="62"/>
      <c r="L170" s="62">
        <f t="shared" si="5"/>
      </c>
      <c r="M170" s="62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 spans="1:26" x14ac:dyDescent="0.25">
      <c r="A171" s="62"/>
      <c r="B171" s="18"/>
      <c r="C171" s="18"/>
      <c r="D171" s="62"/>
      <c r="E171" s="62"/>
      <c r="F171" s="62"/>
      <c r="G171" s="62"/>
      <c r="H171" s="62"/>
      <c r="I171" s="62"/>
      <c r="J171" s="62"/>
      <c r="K171" s="62"/>
      <c r="L171" s="62">
        <f t="shared" si="5"/>
      </c>
      <c r="M171" s="62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 spans="1:26" x14ac:dyDescent="0.25">
      <c r="A172" s="62"/>
      <c r="B172" s="18"/>
      <c r="C172" s="18"/>
      <c r="D172" s="62"/>
      <c r="E172" s="62"/>
      <c r="F172" s="62"/>
      <c r="G172" s="62"/>
      <c r="H172" s="62"/>
      <c r="I172" s="62"/>
      <c r="J172" s="62"/>
      <c r="K172" s="62"/>
      <c r="L172" s="62">
        <f t="shared" si="5"/>
      </c>
      <c r="M172" s="62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 spans="1:26" x14ac:dyDescent="0.25">
      <c r="A173" s="62"/>
      <c r="B173" s="18"/>
      <c r="C173" s="18"/>
      <c r="D173" s="62"/>
      <c r="E173" s="62"/>
      <c r="F173" s="62"/>
      <c r="G173" s="62"/>
      <c r="H173" s="62"/>
      <c r="I173" s="62"/>
      <c r="J173" s="62"/>
      <c r="K173" s="62"/>
      <c r="L173" s="62">
        <f t="shared" si="5"/>
      </c>
      <c r="M173" s="62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 spans="1:26" x14ac:dyDescent="0.25">
      <c r="A174" s="62"/>
      <c r="B174" s="18"/>
      <c r="C174" s="18"/>
      <c r="D174" s="62"/>
      <c r="E174" s="62"/>
      <c r="F174" s="62"/>
      <c r="G174" s="62"/>
      <c r="H174" s="62"/>
      <c r="I174" s="62"/>
      <c r="J174" s="62"/>
      <c r="K174" s="62"/>
      <c r="L174" s="62">
        <f t="shared" si="5"/>
      </c>
      <c r="M174" s="62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 spans="1:26" x14ac:dyDescent="0.25">
      <c r="A175" s="62"/>
      <c r="B175" s="18"/>
      <c r="C175" s="18"/>
      <c r="D175" s="62"/>
      <c r="E175" s="62"/>
      <c r="F175" s="62"/>
      <c r="G175" s="62"/>
      <c r="H175" s="62"/>
      <c r="I175" s="62"/>
      <c r="J175" s="62"/>
      <c r="K175" s="62"/>
      <c r="L175" s="62">
        <f t="shared" si="5"/>
      </c>
      <c r="M175" s="62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 spans="1:26" x14ac:dyDescent="0.25">
      <c r="A176" s="62"/>
      <c r="B176" s="18"/>
      <c r="C176" s="18"/>
      <c r="D176" s="62"/>
      <c r="E176" s="62"/>
      <c r="F176" s="62"/>
      <c r="G176" s="62"/>
      <c r="H176" s="62"/>
      <c r="I176" s="62"/>
      <c r="J176" s="62"/>
      <c r="K176" s="62"/>
      <c r="L176" s="62">
        <f t="shared" si="5"/>
      </c>
      <c r="M176" s="62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 spans="1:26" x14ac:dyDescent="0.25">
      <c r="A177" s="62"/>
      <c r="B177" s="18"/>
      <c r="C177" s="18"/>
      <c r="D177" s="62"/>
      <c r="E177" s="62"/>
      <c r="F177" s="62"/>
      <c r="G177" s="62"/>
      <c r="H177" s="62"/>
      <c r="I177" s="62"/>
      <c r="J177" s="62"/>
      <c r="K177" s="62"/>
      <c r="L177" s="62">
        <f t="shared" si="5"/>
      </c>
      <c r="M177" s="62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 spans="1:26" x14ac:dyDescent="0.25">
      <c r="A178" s="62"/>
      <c r="B178" s="18"/>
      <c r="C178" s="18"/>
      <c r="D178" s="62"/>
      <c r="E178" s="62"/>
      <c r="F178" s="62"/>
      <c r="G178" s="62"/>
      <c r="H178" s="62"/>
      <c r="I178" s="62"/>
      <c r="J178" s="62"/>
      <c r="K178" s="62"/>
      <c r="L178" s="62">
        <f t="shared" si="5"/>
      </c>
      <c r="M178" s="62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 spans="1:26" x14ac:dyDescent="0.25">
      <c r="A179" s="62"/>
      <c r="B179" s="18"/>
      <c r="C179" s="18"/>
      <c r="D179" s="62"/>
      <c r="E179" s="62"/>
      <c r="F179" s="62"/>
      <c r="G179" s="62"/>
      <c r="H179" s="62"/>
      <c r="I179" s="62"/>
      <c r="J179" s="62"/>
      <c r="K179" s="62"/>
      <c r="L179" s="62">
        <f t="shared" si="5"/>
      </c>
      <c r="M179" s="62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 spans="1:26" x14ac:dyDescent="0.25">
      <c r="A180" s="62"/>
      <c r="B180" s="18"/>
      <c r="C180" s="18"/>
      <c r="D180" s="62"/>
      <c r="E180" s="62"/>
      <c r="F180" s="62"/>
      <c r="G180" s="62"/>
      <c r="H180" s="62"/>
      <c r="I180" s="62"/>
      <c r="J180" s="62"/>
      <c r="K180" s="62"/>
      <c r="L180" s="62">
        <f t="shared" si="5"/>
      </c>
      <c r="M180" s="62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 spans="1:26" x14ac:dyDescent="0.25">
      <c r="A181" s="62"/>
      <c r="B181" s="18"/>
      <c r="C181" s="18"/>
      <c r="D181" s="62"/>
      <c r="E181" s="62"/>
      <c r="F181" s="62"/>
      <c r="G181" s="62"/>
      <c r="H181" s="62"/>
      <c r="I181" s="62"/>
      <c r="J181" s="62"/>
      <c r="K181" s="62"/>
      <c r="L181" s="62">
        <f t="shared" si="5"/>
      </c>
      <c r="M181" s="62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 spans="1:26" x14ac:dyDescent="0.25">
      <c r="A182" s="62"/>
      <c r="B182" s="18"/>
      <c r="C182" s="18"/>
      <c r="D182" s="62"/>
      <c r="E182" s="62"/>
      <c r="F182" s="62"/>
      <c r="G182" s="62"/>
      <c r="H182" s="62"/>
      <c r="I182" s="62"/>
      <c r="J182" s="62"/>
      <c r="K182" s="62"/>
      <c r="L182" s="62">
        <f t="shared" si="5"/>
      </c>
      <c r="M182" s="62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 spans="1:26" x14ac:dyDescent="0.25">
      <c r="A183" s="62"/>
      <c r="B183" s="18"/>
      <c r="C183" s="18"/>
      <c r="D183" s="62"/>
      <c r="E183" s="62"/>
      <c r="F183" s="62"/>
      <c r="G183" s="62"/>
      <c r="H183" s="62"/>
      <c r="I183" s="62"/>
      <c r="J183" s="62"/>
      <c r="K183" s="62"/>
      <c r="L183" s="62">
        <f t="shared" si="5"/>
      </c>
      <c r="M183" s="62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 spans="1:26" x14ac:dyDescent="0.25">
      <c r="A184" s="62"/>
      <c r="B184" s="18"/>
      <c r="C184" s="18"/>
      <c r="D184" s="62"/>
      <c r="E184" s="62"/>
      <c r="F184" s="62"/>
      <c r="G184" s="62"/>
      <c r="H184" s="62"/>
      <c r="I184" s="62"/>
      <c r="J184" s="62"/>
      <c r="K184" s="62"/>
      <c r="L184" s="62">
        <f t="shared" si="5"/>
      </c>
      <c r="M184" s="62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 spans="1:26" x14ac:dyDescent="0.25">
      <c r="A185" s="62"/>
      <c r="B185" s="18"/>
      <c r="C185" s="18"/>
      <c r="D185" s="62"/>
      <c r="E185" s="62"/>
      <c r="F185" s="62"/>
      <c r="G185" s="62"/>
      <c r="H185" s="62"/>
      <c r="I185" s="62"/>
      <c r="J185" s="62"/>
      <c r="K185" s="62"/>
      <c r="L185" s="62">
        <f t="shared" si="5"/>
      </c>
      <c r="M185" s="62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 spans="1:26" x14ac:dyDescent="0.25">
      <c r="A186" s="62"/>
      <c r="B186" s="18"/>
      <c r="C186" s="18"/>
      <c r="D186" s="62"/>
      <c r="E186" s="62"/>
      <c r="F186" s="62"/>
      <c r="G186" s="62"/>
      <c r="H186" s="62"/>
      <c r="I186" s="62"/>
      <c r="J186" s="62"/>
      <c r="K186" s="62"/>
      <c r="L186" s="62">
        <f t="shared" si="5"/>
      </c>
      <c r="M186" s="62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 spans="1:26" x14ac:dyDescent="0.25">
      <c r="A187" s="62"/>
      <c r="B187" s="18"/>
      <c r="C187" s="18"/>
      <c r="D187" s="62"/>
      <c r="E187" s="62"/>
      <c r="F187" s="62"/>
      <c r="G187" s="62"/>
      <c r="H187" s="62"/>
      <c r="I187" s="62"/>
      <c r="J187" s="62"/>
      <c r="K187" s="62"/>
      <c r="L187" s="62">
        <f t="shared" si="5"/>
      </c>
      <c r="M187" s="62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 spans="1:26" x14ac:dyDescent="0.25">
      <c r="A188" s="62"/>
      <c r="B188" s="18"/>
      <c r="C188" s="18"/>
      <c r="D188" s="62"/>
      <c r="E188" s="62"/>
      <c r="F188" s="62"/>
      <c r="G188" s="62"/>
      <c r="H188" s="62"/>
      <c r="I188" s="62"/>
      <c r="J188" s="62"/>
      <c r="K188" s="62"/>
      <c r="L188" s="62">
        <f t="shared" si="5"/>
      </c>
      <c r="M188" s="62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 spans="1:26" x14ac:dyDescent="0.25">
      <c r="A189" s="62"/>
      <c r="B189" s="18"/>
      <c r="C189" s="18"/>
      <c r="D189" s="62"/>
      <c r="E189" s="62"/>
      <c r="F189" s="62"/>
      <c r="G189" s="62"/>
      <c r="H189" s="62"/>
      <c r="I189" s="62"/>
      <c r="J189" s="62"/>
      <c r="K189" s="62"/>
      <c r="L189" s="62">
        <f t="shared" si="5"/>
      </c>
      <c r="M189" s="62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 spans="1:26" x14ac:dyDescent="0.25">
      <c r="A190" s="62"/>
      <c r="B190" s="18"/>
      <c r="C190" s="18"/>
      <c r="D190" s="62"/>
      <c r="E190" s="62"/>
      <c r="F190" s="62"/>
      <c r="G190" s="62"/>
      <c r="H190" s="62"/>
      <c r="I190" s="62"/>
      <c r="J190" s="62"/>
      <c r="K190" s="62"/>
      <c r="L190" s="62">
        <f t="shared" si="5"/>
      </c>
      <c r="M190" s="62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 spans="1:26" x14ac:dyDescent="0.25">
      <c r="A191" s="62"/>
      <c r="B191" s="18"/>
      <c r="C191" s="18"/>
      <c r="D191" s="62"/>
      <c r="E191" s="62"/>
      <c r="F191" s="62"/>
      <c r="G191" s="62"/>
      <c r="H191" s="62"/>
      <c r="I191" s="62"/>
      <c r="J191" s="62"/>
      <c r="K191" s="62"/>
      <c r="L191" s="62">
        <f t="shared" si="5"/>
      </c>
      <c r="M191" s="62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 spans="1:26" x14ac:dyDescent="0.25">
      <c r="A192" s="62"/>
      <c r="B192" s="18"/>
      <c r="C192" s="18"/>
      <c r="D192" s="62"/>
      <c r="E192" s="62"/>
      <c r="F192" s="62"/>
      <c r="G192" s="62"/>
      <c r="H192" s="62"/>
      <c r="I192" s="62"/>
      <c r="J192" s="62"/>
      <c r="K192" s="62"/>
      <c r="L192" s="62">
        <f t="shared" si="5"/>
      </c>
      <c r="M192" s="62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 spans="1:26" x14ac:dyDescent="0.25">
      <c r="A193" s="62"/>
      <c r="B193" s="18"/>
      <c r="C193" s="18"/>
      <c r="D193" s="62"/>
      <c r="E193" s="62"/>
      <c r="F193" s="62"/>
      <c r="G193" s="62"/>
      <c r="H193" s="62"/>
      <c r="I193" s="62"/>
      <c r="J193" s="62"/>
      <c r="K193" s="62"/>
      <c r="L193" s="62">
        <f t="shared" si="5"/>
      </c>
      <c r="M193" s="62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 spans="1:26" x14ac:dyDescent="0.25">
      <c r="A194" s="62"/>
      <c r="B194" s="18"/>
      <c r="C194" s="18"/>
      <c r="D194" s="62"/>
      <c r="E194" s="62"/>
      <c r="F194" s="62"/>
      <c r="G194" s="62"/>
      <c r="H194" s="62"/>
      <c r="I194" s="62"/>
      <c r="J194" s="62"/>
      <c r="K194" s="62"/>
      <c r="L194" s="62">
        <f t="shared" si="5"/>
      </c>
      <c r="M194" s="62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 spans="1:26" x14ac:dyDescent="0.25">
      <c r="A195" s="62"/>
      <c r="B195" s="18"/>
      <c r="C195" s="18"/>
      <c r="D195" s="62"/>
      <c r="E195" s="62"/>
      <c r="F195" s="62"/>
      <c r="G195" s="62"/>
      <c r="H195" s="62"/>
      <c r="I195" s="62"/>
      <c r="J195" s="62"/>
      <c r="K195" s="62"/>
      <c r="L195" s="62">
        <f t="shared" si="5"/>
      </c>
      <c r="M195" s="62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 spans="1:26" x14ac:dyDescent="0.25">
      <c r="A196" s="62"/>
      <c r="B196" s="18"/>
      <c r="C196" s="18"/>
      <c r="D196" s="62"/>
      <c r="E196" s="62"/>
      <c r="F196" s="62"/>
      <c r="G196" s="62"/>
      <c r="H196" s="62"/>
      <c r="I196" s="62"/>
      <c r="J196" s="62"/>
      <c r="K196" s="62"/>
      <c r="L196" s="62">
        <f t="shared" si="5"/>
      </c>
      <c r="M196" s="62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 spans="1:26" x14ac:dyDescent="0.25">
      <c r="A197" s="62"/>
      <c r="B197" s="18"/>
      <c r="C197" s="18"/>
      <c r="D197" s="62"/>
      <c r="E197" s="62"/>
      <c r="F197" s="62"/>
      <c r="G197" s="62"/>
      <c r="H197" s="62"/>
      <c r="I197" s="62"/>
      <c r="J197" s="62"/>
      <c r="K197" s="62"/>
      <c r="L197" s="62">
        <f t="shared" si="5"/>
      </c>
      <c r="M197" s="62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 spans="1:26" x14ac:dyDescent="0.25">
      <c r="A198" s="62"/>
      <c r="B198" s="18"/>
      <c r="C198" s="18"/>
      <c r="D198" s="62"/>
      <c r="E198" s="62"/>
      <c r="F198" s="62"/>
      <c r="G198" s="62"/>
      <c r="H198" s="62"/>
      <c r="I198" s="62"/>
      <c r="J198" s="62"/>
      <c r="K198" s="62"/>
      <c r="L198" s="62">
        <f t="shared" si="5"/>
      </c>
      <c r="M198" s="62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 spans="1:26" x14ac:dyDescent="0.25">
      <c r="A199" s="62"/>
      <c r="B199" s="18"/>
      <c r="C199" s="18"/>
      <c r="D199" s="62"/>
      <c r="E199" s="62"/>
      <c r="F199" s="62"/>
      <c r="G199" s="62"/>
      <c r="H199" s="62"/>
      <c r="I199" s="62"/>
      <c r="J199" s="62"/>
      <c r="K199" s="62"/>
      <c r="L199" s="62">
        <f t="shared" si="5"/>
      </c>
      <c r="M199" s="62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 spans="1:26" x14ac:dyDescent="0.25">
      <c r="A200" s="62"/>
      <c r="B200" s="18"/>
      <c r="C200" s="18"/>
      <c r="D200" s="62"/>
      <c r="E200" s="62"/>
      <c r="F200" s="62"/>
      <c r="G200" s="62"/>
      <c r="H200" s="62"/>
      <c r="I200" s="62"/>
      <c r="J200" s="62"/>
      <c r="K200" s="62"/>
      <c r="L200" s="62">
        <f t="shared" si="5"/>
      </c>
      <c r="M200" s="62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 spans="1:26" x14ac:dyDescent="0.25">
      <c r="A201" s="62"/>
      <c r="B201" s="18"/>
      <c r="C201" s="18"/>
      <c r="D201" s="62"/>
      <c r="E201" s="62"/>
      <c r="F201" s="62"/>
      <c r="G201" s="62"/>
      <c r="H201" s="62"/>
      <c r="I201" s="62"/>
      <c r="J201" s="62"/>
      <c r="K201" s="62"/>
      <c r="L201" s="62">
        <f t="shared" si="5"/>
      </c>
      <c r="M201" s="62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 spans="1:26" x14ac:dyDescent="0.25">
      <c r="A202" s="62"/>
      <c r="B202" s="18"/>
      <c r="C202" s="18"/>
      <c r="D202" s="62"/>
      <c r="E202" s="62"/>
      <c r="F202" s="62"/>
      <c r="G202" s="62"/>
      <c r="H202" s="62"/>
      <c r="I202" s="62"/>
      <c r="J202" s="62"/>
      <c r="K202" s="62"/>
      <c r="L202" s="62">
        <f t="shared" si="5"/>
      </c>
      <c r="M202" s="62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 spans="1:26" x14ac:dyDescent="0.25">
      <c r="A203" s="62"/>
      <c r="B203" s="18"/>
      <c r="C203" s="18"/>
      <c r="D203" s="62"/>
      <c r="E203" s="62"/>
      <c r="F203" s="62"/>
      <c r="G203" s="62"/>
      <c r="H203" s="62"/>
      <c r="I203" s="62"/>
      <c r="J203" s="62"/>
      <c r="K203" s="62"/>
      <c r="L203" s="62">
        <f t="shared" si="5"/>
      </c>
      <c r="M203" s="62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 spans="1:26" x14ac:dyDescent="0.25">
      <c r="A204" s="62"/>
      <c r="B204" s="18"/>
      <c r="C204" s="18"/>
      <c r="D204" s="62"/>
      <c r="E204" s="62"/>
      <c r="F204" s="62"/>
      <c r="G204" s="62"/>
      <c r="H204" s="62"/>
      <c r="I204" s="62"/>
      <c r="J204" s="62"/>
      <c r="K204" s="62"/>
      <c r="L204" s="62">
        <f t="shared" si="5"/>
      </c>
      <c r="M204" s="62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 spans="1:26" x14ac:dyDescent="0.25">
      <c r="A205" s="62"/>
      <c r="B205" s="18"/>
      <c r="C205" s="18"/>
      <c r="D205" s="62"/>
      <c r="E205" s="62"/>
      <c r="F205" s="62"/>
      <c r="G205" s="62"/>
      <c r="H205" s="62"/>
      <c r="I205" s="62"/>
      <c r="J205" s="62"/>
      <c r="K205" s="62"/>
      <c r="L205" s="62">
        <f t="shared" si="5"/>
      </c>
      <c r="M205" s="62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 spans="1:26" x14ac:dyDescent="0.25">
      <c r="A206" s="62"/>
      <c r="B206" s="18"/>
      <c r="C206" s="18"/>
      <c r="D206" s="62"/>
      <c r="E206" s="62"/>
      <c r="F206" s="62"/>
      <c r="G206" s="62"/>
      <c r="H206" s="62"/>
      <c r="I206" s="62"/>
      <c r="J206" s="62"/>
      <c r="K206" s="62"/>
      <c r="L206" s="62">
        <f t="shared" si="5"/>
      </c>
      <c r="M206" s="62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 spans="1:26" x14ac:dyDescent="0.25">
      <c r="A207" s="62"/>
      <c r="B207" s="18"/>
      <c r="C207" s="18"/>
      <c r="D207" s="62"/>
      <c r="E207" s="62"/>
      <c r="F207" s="62"/>
      <c r="G207" s="62"/>
      <c r="H207" s="62"/>
      <c r="I207" s="62"/>
      <c r="J207" s="62"/>
      <c r="K207" s="62"/>
      <c r="L207" s="62">
        <f t="shared" si="5"/>
      </c>
      <c r="M207" s="62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 spans="1:26" x14ac:dyDescent="0.25">
      <c r="A208" s="62"/>
      <c r="B208" s="18"/>
      <c r="C208" s="18"/>
      <c r="D208" s="62"/>
      <c r="E208" s="62"/>
      <c r="F208" s="62"/>
      <c r="G208" s="62"/>
      <c r="H208" s="62"/>
      <c r="I208" s="62"/>
      <c r="J208" s="62"/>
      <c r="K208" s="62"/>
      <c r="L208" s="62">
        <f t="shared" si="5"/>
      </c>
      <c r="M208" s="62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 spans="1:26" x14ac:dyDescent="0.25">
      <c r="A209" s="62"/>
      <c r="B209" s="18"/>
      <c r="C209" s="18"/>
      <c r="D209" s="62"/>
      <c r="E209" s="62"/>
      <c r="F209" s="62"/>
      <c r="G209" s="62"/>
      <c r="H209" s="62"/>
      <c r="I209" s="62"/>
      <c r="J209" s="62"/>
      <c r="K209" s="62"/>
      <c r="L209" s="62">
        <f t="shared" si="5"/>
      </c>
      <c r="M209" s="62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 spans="1:26" x14ac:dyDescent="0.25">
      <c r="A210" s="62"/>
      <c r="B210" s="18"/>
      <c r="C210" s="18"/>
      <c r="D210" s="62"/>
      <c r="E210" s="62"/>
      <c r="F210" s="62"/>
      <c r="G210" s="62"/>
      <c r="H210" s="62"/>
      <c r="I210" s="62"/>
      <c r="J210" s="62"/>
      <c r="K210" s="62"/>
      <c r="L210" s="62">
        <f t="shared" si="5"/>
      </c>
      <c r="M210" s="62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 spans="1:26" x14ac:dyDescent="0.25">
      <c r="A211" s="62"/>
      <c r="B211" s="18"/>
      <c r="C211" s="18"/>
      <c r="D211" s="62"/>
      <c r="E211" s="62"/>
      <c r="F211" s="62"/>
      <c r="G211" s="62"/>
      <c r="H211" s="62"/>
      <c r="I211" s="62"/>
      <c r="J211" s="62"/>
      <c r="K211" s="62"/>
      <c r="L211" s="62">
        <f t="shared" si="5"/>
      </c>
      <c r="M211" s="62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 spans="1:26" x14ac:dyDescent="0.25">
      <c r="A212" s="62"/>
      <c r="B212" s="18"/>
      <c r="C212" s="18"/>
      <c r="D212" s="62"/>
      <c r="E212" s="62"/>
      <c r="F212" s="62"/>
      <c r="G212" s="62"/>
      <c r="H212" s="62"/>
      <c r="I212" s="62"/>
      <c r="J212" s="62"/>
      <c r="K212" s="62"/>
      <c r="L212" s="62">
        <f t="shared" si="5"/>
      </c>
      <c r="M212" s="62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 spans="1:26" x14ac:dyDescent="0.25">
      <c r="A213" s="62"/>
      <c r="B213" s="18"/>
      <c r="C213" s="18"/>
      <c r="D213" s="62"/>
      <c r="E213" s="62"/>
      <c r="F213" s="62"/>
      <c r="G213" s="62"/>
      <c r="H213" s="62"/>
      <c r="I213" s="62"/>
      <c r="J213" s="62"/>
      <c r="K213" s="62"/>
      <c r="L213" s="62">
        <f t="shared" si="5"/>
      </c>
      <c r="M213" s="62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 spans="1:26" x14ac:dyDescent="0.25">
      <c r="A214" s="62"/>
      <c r="B214" s="18"/>
      <c r="C214" s="18"/>
      <c r="D214" s="62"/>
      <c r="E214" s="62"/>
      <c r="F214" s="62"/>
      <c r="G214" s="62"/>
      <c r="H214" s="62"/>
      <c r="I214" s="62"/>
      <c r="J214" s="62"/>
      <c r="K214" s="62"/>
      <c r="L214" s="62">
        <f t="shared" si="5"/>
      </c>
      <c r="M214" s="62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 spans="1:26" x14ac:dyDescent="0.25">
      <c r="A215" s="62"/>
      <c r="B215" s="18"/>
      <c r="C215" s="18"/>
      <c r="D215" s="62"/>
      <c r="E215" s="62"/>
      <c r="F215" s="62"/>
      <c r="G215" s="62"/>
      <c r="H215" s="62"/>
      <c r="I215" s="62"/>
      <c r="J215" s="62"/>
      <c r="K215" s="62"/>
      <c r="L215" s="62">
        <f t="shared" si="5"/>
      </c>
      <c r="M215" s="62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 spans="1:26" x14ac:dyDescent="0.25">
      <c r="A216" s="62"/>
      <c r="B216" s="18"/>
      <c r="C216" s="18"/>
      <c r="D216" s="62"/>
      <c r="E216" s="62"/>
      <c r="F216" s="62"/>
      <c r="G216" s="62"/>
      <c r="H216" s="62"/>
      <c r="I216" s="62"/>
      <c r="J216" s="62"/>
      <c r="K216" s="62"/>
      <c r="L216" s="62">
        <f t="shared" si="5"/>
      </c>
      <c r="M216" s="62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 spans="1:26" x14ac:dyDescent="0.25">
      <c r="A217" s="62"/>
      <c r="B217" s="18"/>
      <c r="C217" s="18"/>
      <c r="D217" s="62"/>
      <c r="E217" s="62"/>
      <c r="F217" s="62"/>
      <c r="G217" s="62"/>
      <c r="H217" s="62"/>
      <c r="I217" s="62"/>
      <c r="J217" s="62"/>
      <c r="K217" s="62"/>
      <c r="L217" s="62">
        <f t="shared" si="5"/>
      </c>
      <c r="M217" s="62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 spans="1:26" x14ac:dyDescent="0.25">
      <c r="A218" s="62"/>
      <c r="B218" s="18"/>
      <c r="C218" s="18"/>
      <c r="D218" s="62"/>
      <c r="E218" s="62"/>
      <c r="F218" s="62"/>
      <c r="G218" s="62"/>
      <c r="H218" s="62"/>
      <c r="I218" s="62"/>
      <c r="J218" s="62"/>
      <c r="K218" s="62"/>
      <c r="L218" s="62">
        <f t="shared" si="5"/>
      </c>
      <c r="M218" s="62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 spans="1:26" x14ac:dyDescent="0.25">
      <c r="A219" s="62"/>
      <c r="B219" s="18"/>
      <c r="C219" s="18"/>
      <c r="D219" s="62"/>
      <c r="E219" s="62"/>
      <c r="F219" s="62"/>
      <c r="G219" s="62"/>
      <c r="H219" s="62"/>
      <c r="I219" s="62"/>
      <c r="J219" s="62"/>
      <c r="K219" s="62"/>
      <c r="L219" s="62">
        <f t="shared" si="5"/>
      </c>
      <c r="M219" s="62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 spans="1:26" x14ac:dyDescent="0.25">
      <c r="A220" s="62"/>
      <c r="B220" s="18"/>
      <c r="C220" s="18"/>
      <c r="D220" s="62"/>
      <c r="E220" s="62"/>
      <c r="F220" s="62"/>
      <c r="G220" s="62"/>
      <c r="H220" s="62"/>
      <c r="I220" s="62"/>
      <c r="J220" s="62"/>
      <c r="K220" s="62"/>
      <c r="L220" s="62">
        <f t="shared" si="5"/>
      </c>
      <c r="M220" s="62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 spans="1:26" x14ac:dyDescent="0.25">
      <c r="A221" s="62"/>
      <c r="B221" s="18"/>
      <c r="C221" s="18"/>
      <c r="D221" s="62"/>
      <c r="E221" s="62"/>
      <c r="F221" s="62"/>
      <c r="G221" s="62"/>
      <c r="H221" s="62"/>
      <c r="I221" s="62"/>
      <c r="J221" s="62"/>
      <c r="K221" s="62"/>
      <c r="L221" s="62">
        <f t="shared" si="5"/>
      </c>
      <c r="M221" s="62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 spans="1:26" x14ac:dyDescent="0.25">
      <c r="A222" s="62"/>
      <c r="B222" s="18"/>
      <c r="C222" s="18"/>
      <c r="D222" s="62"/>
      <c r="E222" s="62"/>
      <c r="F222" s="62"/>
      <c r="G222" s="62"/>
      <c r="H222" s="62"/>
      <c r="I222" s="62"/>
      <c r="J222" s="62"/>
      <c r="K222" s="62"/>
      <c r="L222" s="62">
        <f t="shared" si="5"/>
      </c>
      <c r="M222" s="62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 spans="1:26" x14ac:dyDescent="0.25">
      <c r="A223" s="62"/>
      <c r="B223" s="18"/>
      <c r="C223" s="18"/>
      <c r="D223" s="62"/>
      <c r="E223" s="62"/>
      <c r="F223" s="62"/>
      <c r="G223" s="62"/>
      <c r="H223" s="62"/>
      <c r="I223" s="62"/>
      <c r="J223" s="62"/>
      <c r="K223" s="62"/>
      <c r="L223" s="62">
        <f t="shared" si="5"/>
      </c>
      <c r="M223" s="62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 spans="1:26" x14ac:dyDescent="0.25">
      <c r="A224" s="62"/>
      <c r="B224" s="18"/>
      <c r="C224" s="18"/>
      <c r="D224" s="62"/>
      <c r="E224" s="62"/>
      <c r="F224" s="62"/>
      <c r="G224" s="62"/>
      <c r="H224" s="62"/>
      <c r="I224" s="62"/>
      <c r="J224" s="62"/>
      <c r="K224" s="62"/>
      <c r="L224" s="62">
        <f t="shared" si="5"/>
      </c>
      <c r="M224" s="62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 spans="1:26" x14ac:dyDescent="0.25">
      <c r="A225" s="62"/>
      <c r="B225" s="18"/>
      <c r="C225" s="18"/>
      <c r="D225" s="62"/>
      <c r="E225" s="62"/>
      <c r="F225" s="62"/>
      <c r="G225" s="62"/>
      <c r="H225" s="62"/>
      <c r="I225" s="62"/>
      <c r="J225" s="62"/>
      <c r="K225" s="62"/>
      <c r="L225" s="62">
        <f t="shared" si="5"/>
      </c>
      <c r="M225" s="62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 spans="1:26" x14ac:dyDescent="0.25">
      <c r="A226" s="62"/>
      <c r="B226" s="18"/>
      <c r="C226" s="18"/>
      <c r="D226" s="62"/>
      <c r="E226" s="62"/>
      <c r="F226" s="62"/>
      <c r="G226" s="62"/>
      <c r="H226" s="62"/>
      <c r="I226" s="62"/>
      <c r="J226" s="62"/>
      <c r="K226" s="62"/>
      <c r="L226" s="62">
        <f t="shared" si="5"/>
      </c>
      <c r="M226" s="62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 spans="1:26" x14ac:dyDescent="0.25">
      <c r="A227" s="62"/>
      <c r="B227" s="18"/>
      <c r="C227" s="18"/>
      <c r="D227" s="62"/>
      <c r="E227" s="62"/>
      <c r="F227" s="62"/>
      <c r="G227" s="62"/>
      <c r="H227" s="62"/>
      <c r="I227" s="62"/>
      <c r="J227" s="62"/>
      <c r="K227" s="62"/>
      <c r="L227" s="62">
        <f t="shared" si="5"/>
      </c>
      <c r="M227" s="62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 spans="1:26" x14ac:dyDescent="0.25">
      <c r="A228" s="62"/>
      <c r="B228" s="18"/>
      <c r="C228" s="18"/>
      <c r="D228" s="62"/>
      <c r="E228" s="62"/>
      <c r="F228" s="62"/>
      <c r="G228" s="62"/>
      <c r="H228" s="62"/>
      <c r="I228" s="62"/>
      <c r="J228" s="62"/>
      <c r="K228" s="62"/>
      <c r="L228" s="62">
        <f t="shared" si="5"/>
      </c>
      <c r="M228" s="62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 spans="1:26" x14ac:dyDescent="0.25">
      <c r="A229" s="62"/>
      <c r="B229" s="18"/>
      <c r="C229" s="18"/>
      <c r="D229" s="62"/>
      <c r="E229" s="62"/>
      <c r="F229" s="62"/>
      <c r="G229" s="62"/>
      <c r="H229" s="62"/>
      <c r="I229" s="62"/>
      <c r="J229" s="62"/>
      <c r="K229" s="62"/>
      <c r="L229" s="62">
        <f t="shared" si="5"/>
      </c>
      <c r="M229" s="62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 spans="1:26" x14ac:dyDescent="0.25">
      <c r="A230" s="62"/>
      <c r="B230" s="18"/>
      <c r="C230" s="18"/>
      <c r="D230" s="62"/>
      <c r="E230" s="62"/>
      <c r="F230" s="62"/>
      <c r="G230" s="62"/>
      <c r="H230" s="62"/>
      <c r="I230" s="62"/>
      <c r="J230" s="62"/>
      <c r="K230" s="62"/>
      <c r="L230" s="62">
        <f t="shared" si="5"/>
      </c>
      <c r="M230" s="62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 spans="1:26" x14ac:dyDescent="0.25">
      <c r="A231" s="62"/>
      <c r="B231" s="18"/>
      <c r="C231" s="18"/>
      <c r="D231" s="62"/>
      <c r="E231" s="62"/>
      <c r="F231" s="62"/>
      <c r="G231" s="62"/>
      <c r="H231" s="62"/>
      <c r="I231" s="62"/>
      <c r="J231" s="62"/>
      <c r="K231" s="62"/>
      <c r="L231" s="62">
        <f t="shared" si="5"/>
      </c>
      <c r="M231" s="62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 spans="1:26" x14ac:dyDescent="0.25">
      <c r="A232" s="62"/>
      <c r="B232" s="18"/>
      <c r="C232" s="18"/>
      <c r="D232" s="62"/>
      <c r="E232" s="62"/>
      <c r="F232" s="62"/>
      <c r="G232" s="62"/>
      <c r="H232" s="62"/>
      <c r="I232" s="62"/>
      <c r="J232" s="62"/>
      <c r="K232" s="62"/>
      <c r="L232" s="62">
        <f t="shared" si="5"/>
      </c>
      <c r="M232" s="62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 spans="1:26" x14ac:dyDescent="0.25">
      <c r="A233" s="62"/>
      <c r="B233" s="18"/>
      <c r="C233" s="18"/>
      <c r="D233" s="62"/>
      <c r="E233" s="62"/>
      <c r="F233" s="62"/>
      <c r="G233" s="62"/>
      <c r="H233" s="62"/>
      <c r="I233" s="62"/>
      <c r="J233" s="62"/>
      <c r="K233" s="62"/>
      <c r="L233" s="62">
        <f t="shared" si="5"/>
      </c>
      <c r="M233" s="62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 spans="1:26" x14ac:dyDescent="0.25">
      <c r="A234" s="62"/>
      <c r="B234" s="18"/>
      <c r="C234" s="18"/>
      <c r="D234" s="62"/>
      <c r="E234" s="62"/>
      <c r="F234" s="62"/>
      <c r="G234" s="62"/>
      <c r="H234" s="62"/>
      <c r="I234" s="62"/>
      <c r="J234" s="62"/>
      <c r="K234" s="62"/>
      <c r="L234" s="62">
        <f t="shared" si="5"/>
      </c>
      <c r="M234" s="62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 spans="1:26" x14ac:dyDescent="0.25">
      <c r="A235" s="62"/>
      <c r="B235" s="18"/>
      <c r="C235" s="18"/>
      <c r="D235" s="62"/>
      <c r="E235" s="62"/>
      <c r="F235" s="62"/>
      <c r="G235" s="62"/>
      <c r="H235" s="62"/>
      <c r="I235" s="62"/>
      <c r="J235" s="62"/>
      <c r="K235" s="62"/>
      <c r="L235" s="62">
        <f t="shared" si="5"/>
      </c>
      <c r="M235" s="62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 spans="1:26" x14ac:dyDescent="0.25">
      <c r="A236" s="62"/>
      <c r="B236" s="18"/>
      <c r="C236" s="18"/>
      <c r="D236" s="62"/>
      <c r="E236" s="62"/>
      <c r="F236" s="62"/>
      <c r="G236" s="62"/>
      <c r="H236" s="62"/>
      <c r="I236" s="62"/>
      <c r="J236" s="62"/>
      <c r="K236" s="62"/>
      <c r="L236" s="62">
        <f t="shared" si="5"/>
      </c>
      <c r="M236" s="62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 spans="1:26" x14ac:dyDescent="0.25">
      <c r="A237" s="62"/>
      <c r="B237" s="18"/>
      <c r="C237" s="18"/>
      <c r="D237" s="62"/>
      <c r="E237" s="62"/>
      <c r="F237" s="62"/>
      <c r="G237" s="62"/>
      <c r="H237" s="62"/>
      <c r="I237" s="62"/>
      <c r="J237" s="62"/>
      <c r="K237" s="62"/>
      <c r="L237" s="62">
        <f t="shared" si="5"/>
      </c>
      <c r="M237" s="62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 spans="1:26" x14ac:dyDescent="0.25">
      <c r="A238" s="62"/>
      <c r="B238" s="18"/>
      <c r="C238" s="18"/>
      <c r="D238" s="62"/>
      <c r="E238" s="62"/>
      <c r="F238" s="62"/>
      <c r="G238" s="62"/>
      <c r="H238" s="62"/>
      <c r="I238" s="62"/>
      <c r="J238" s="62"/>
      <c r="K238" s="62"/>
      <c r="L238" s="62">
        <f t="shared" si="5"/>
      </c>
      <c r="M238" s="62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 spans="1:26" x14ac:dyDescent="0.25">
      <c r="A239" s="62"/>
      <c r="B239" s="18"/>
      <c r="C239" s="18"/>
      <c r="D239" s="62"/>
      <c r="E239" s="62"/>
      <c r="F239" s="62"/>
      <c r="G239" s="62"/>
      <c r="H239" s="62"/>
      <c r="I239" s="62"/>
      <c r="J239" s="62"/>
      <c r="K239" s="62"/>
      <c r="L239" s="62">
        <f t="shared" si="5"/>
      </c>
      <c r="M239" s="62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 spans="1:26" x14ac:dyDescent="0.25">
      <c r="A240" s="62"/>
      <c r="B240" s="18"/>
      <c r="C240" s="18"/>
      <c r="D240" s="62"/>
      <c r="E240" s="62"/>
      <c r="F240" s="62"/>
      <c r="G240" s="62"/>
      <c r="H240" s="62"/>
      <c r="I240" s="62"/>
      <c r="J240" s="62"/>
      <c r="K240" s="62"/>
      <c r="L240" s="62">
        <f t="shared" si="5"/>
      </c>
      <c r="M240" s="62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 spans="1:26" x14ac:dyDescent="0.25">
      <c r="A241" s="62"/>
      <c r="B241" s="18"/>
      <c r="C241" s="18"/>
      <c r="D241" s="62"/>
      <c r="E241" s="62"/>
      <c r="F241" s="62"/>
      <c r="G241" s="62"/>
      <c r="H241" s="62"/>
      <c r="I241" s="62"/>
      <c r="J241" s="62"/>
      <c r="K241" s="62"/>
      <c r="L241" s="62">
        <f t="shared" si="5"/>
      </c>
      <c r="M241" s="62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 spans="1:26" x14ac:dyDescent="0.25">
      <c r="A242" s="62"/>
      <c r="B242" s="18"/>
      <c r="C242" s="18"/>
      <c r="D242" s="62"/>
      <c r="E242" s="62"/>
      <c r="F242" s="62"/>
      <c r="G242" s="62"/>
      <c r="H242" s="62"/>
      <c r="I242" s="62"/>
      <c r="J242" s="62"/>
      <c r="K242" s="62"/>
      <c r="L242" s="62">
        <f t="shared" si="5"/>
      </c>
      <c r="M242" s="62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 spans="1:26" x14ac:dyDescent="0.25">
      <c r="A243" s="62"/>
      <c r="B243" s="18"/>
      <c r="C243" s="18"/>
      <c r="D243" s="62"/>
      <c r="E243" s="62"/>
      <c r="F243" s="62"/>
      <c r="G243" s="62"/>
      <c r="H243" s="62"/>
      <c r="I243" s="62"/>
      <c r="J243" s="62"/>
      <c r="K243" s="62"/>
      <c r="L243" s="62">
        <f t="shared" si="5"/>
      </c>
      <c r="M243" s="62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 spans="1:26" x14ac:dyDescent="0.25">
      <c r="A244" s="62"/>
      <c r="B244" s="18"/>
      <c r="C244" s="18"/>
      <c r="D244" s="62"/>
      <c r="E244" s="62"/>
      <c r="F244" s="62"/>
      <c r="G244" s="62"/>
      <c r="H244" s="62"/>
      <c r="I244" s="62"/>
      <c r="J244" s="62"/>
      <c r="K244" s="62"/>
      <c r="L244" s="62">
        <f t="shared" si="5"/>
      </c>
      <c r="M244" s="62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 spans="1:26" x14ac:dyDescent="0.25">
      <c r="A245" s="62"/>
      <c r="B245" s="18"/>
      <c r="C245" s="18"/>
      <c r="D245" s="62"/>
      <c r="E245" s="62"/>
      <c r="F245" s="62"/>
      <c r="G245" s="62"/>
      <c r="H245" s="62"/>
      <c r="I245" s="62"/>
      <c r="J245" s="62"/>
      <c r="K245" s="62"/>
      <c r="L245" s="62">
        <f t="shared" si="5"/>
      </c>
      <c r="M245" s="62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 spans="1:26" x14ac:dyDescent="0.25">
      <c r="A246" s="62"/>
      <c r="B246" s="18"/>
      <c r="C246" s="18"/>
      <c r="D246" s="62"/>
      <c r="E246" s="62"/>
      <c r="F246" s="62"/>
      <c r="G246" s="62"/>
      <c r="H246" s="62"/>
      <c r="I246" s="62"/>
      <c r="J246" s="62"/>
      <c r="K246" s="62"/>
      <c r="L246" s="62">
        <f t="shared" si="5"/>
      </c>
      <c r="M246" s="62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 spans="1:26" x14ac:dyDescent="0.25">
      <c r="A247" s="62"/>
      <c r="B247" s="18"/>
      <c r="C247" s="18"/>
      <c r="D247" s="62"/>
      <c r="E247" s="62"/>
      <c r="F247" s="62"/>
      <c r="G247" s="62"/>
      <c r="H247" s="62"/>
      <c r="I247" s="62"/>
      <c r="J247" s="62"/>
      <c r="K247" s="62"/>
      <c r="L247" s="62">
        <f t="shared" si="5"/>
      </c>
      <c r="M247" s="62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 spans="1:26" x14ac:dyDescent="0.25">
      <c r="A248" s="62"/>
      <c r="B248" s="18"/>
      <c r="C248" s="18"/>
      <c r="D248" s="62"/>
      <c r="E248" s="62"/>
      <c r="F248" s="62"/>
      <c r="G248" s="62"/>
      <c r="H248" s="62"/>
      <c r="I248" s="62"/>
      <c r="J248" s="62"/>
      <c r="K248" s="62"/>
      <c r="L248" s="62">
        <f t="shared" si="5"/>
      </c>
      <c r="M248" s="62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 spans="1:26" x14ac:dyDescent="0.25">
      <c r="A249" s="62"/>
      <c r="B249" s="18"/>
      <c r="C249" s="18"/>
      <c r="D249" s="62"/>
      <c r="E249" s="62"/>
      <c r="F249" s="62"/>
      <c r="G249" s="62"/>
      <c r="H249" s="62"/>
      <c r="I249" s="62"/>
      <c r="J249" s="62"/>
      <c r="K249" s="62"/>
      <c r="L249" s="62">
        <f t="shared" si="5"/>
      </c>
      <c r="M249" s="62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 spans="1:26" x14ac:dyDescent="0.25">
      <c r="A250" s="62"/>
      <c r="B250" s="18"/>
      <c r="C250" s="18"/>
      <c r="D250" s="62"/>
      <c r="E250" s="62"/>
      <c r="F250" s="62"/>
      <c r="G250" s="62"/>
      <c r="H250" s="62"/>
      <c r="I250" s="62"/>
      <c r="J250" s="62"/>
      <c r="K250" s="62"/>
      <c r="L250" s="62">
        <f t="shared" si="5"/>
      </c>
      <c r="M250" s="62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 spans="1:26" x14ac:dyDescent="0.25">
      <c r="A251" s="62"/>
      <c r="B251" s="18"/>
      <c r="C251" s="18"/>
      <c r="D251" s="62"/>
      <c r="E251" s="62"/>
      <c r="F251" s="62"/>
      <c r="G251" s="62"/>
      <c r="H251" s="62"/>
      <c r="I251" s="62"/>
      <c r="J251" s="62"/>
      <c r="K251" s="62"/>
      <c r="L251" s="62">
        <f t="shared" si="5"/>
      </c>
      <c r="M251" s="62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 spans="1:26" x14ac:dyDescent="0.25">
      <c r="A252" s="62"/>
      <c r="B252" s="18"/>
      <c r="C252" s="18"/>
      <c r="D252" s="62"/>
      <c r="E252" s="62"/>
      <c r="F252" s="62"/>
      <c r="G252" s="62"/>
      <c r="H252" s="62"/>
      <c r="I252" s="62"/>
      <c r="J252" s="62"/>
      <c r="K252" s="62"/>
      <c r="L252" s="62">
        <f t="shared" si="5"/>
      </c>
      <c r="M252" s="62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 spans="1:26" x14ac:dyDescent="0.25">
      <c r="A253" s="62"/>
      <c r="B253" s="18"/>
      <c r="C253" s="18"/>
      <c r="D253" s="62"/>
      <c r="E253" s="62"/>
      <c r="F253" s="62"/>
      <c r="G253" s="62"/>
      <c r="H253" s="62"/>
      <c r="I253" s="62"/>
      <c r="J253" s="62"/>
      <c r="K253" s="62"/>
      <c r="L253" s="62">
        <f t="shared" si="5"/>
      </c>
      <c r="M253" s="62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 spans="1:26" x14ac:dyDescent="0.25">
      <c r="A254" s="62"/>
      <c r="B254" s="18"/>
      <c r="C254" s="18"/>
      <c r="D254" s="62"/>
      <c r="E254" s="62"/>
      <c r="F254" s="62"/>
      <c r="G254" s="62"/>
      <c r="H254" s="62"/>
      <c r="I254" s="62"/>
      <c r="J254" s="62"/>
      <c r="K254" s="62"/>
      <c r="L254" s="62">
        <f t="shared" si="5"/>
      </c>
      <c r="M254" s="62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 spans="1:26" x14ac:dyDescent="0.25">
      <c r="A255" s="62"/>
      <c r="B255" s="18"/>
      <c r="C255" s="18"/>
      <c r="D255" s="62"/>
      <c r="E255" s="62"/>
      <c r="F255" s="62"/>
      <c r="G255" s="62"/>
      <c r="H255" s="62"/>
      <c r="I255" s="62"/>
      <c r="J255" s="62"/>
      <c r="K255" s="62"/>
      <c r="L255" s="62">
        <f t="shared" si="5"/>
      </c>
      <c r="M255" s="62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 spans="1:26" x14ac:dyDescent="0.25">
      <c r="A256" s="62"/>
      <c r="B256" s="18"/>
      <c r="C256" s="18"/>
      <c r="D256" s="62"/>
      <c r="E256" s="62"/>
      <c r="F256" s="62"/>
      <c r="G256" s="62"/>
      <c r="H256" s="62"/>
      <c r="I256" s="62"/>
      <c r="J256" s="62"/>
      <c r="K256" s="62"/>
      <c r="L256" s="62">
        <f t="shared" si="5"/>
      </c>
      <c r="M256" s="62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 spans="1:26" x14ac:dyDescent="0.25">
      <c r="A257" s="62"/>
      <c r="B257" s="18"/>
      <c r="C257" s="18"/>
      <c r="D257" s="62"/>
      <c r="E257" s="62"/>
      <c r="F257" s="62"/>
      <c r="G257" s="62"/>
      <c r="H257" s="62"/>
      <c r="I257" s="62"/>
      <c r="J257" s="62"/>
      <c r="K257" s="62"/>
      <c r="L257" s="62">
        <f t="shared" si="5"/>
      </c>
      <c r="M257" s="62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 spans="1:26" x14ac:dyDescent="0.25">
      <c r="A258" s="62"/>
      <c r="B258" s="18"/>
      <c r="C258" s="18"/>
      <c r="D258" s="62"/>
      <c r="E258" s="62"/>
      <c r="F258" s="62"/>
      <c r="G258" s="62"/>
      <c r="H258" s="62"/>
      <c r="I258" s="62"/>
      <c r="J258" s="62"/>
      <c r="K258" s="62"/>
      <c r="L258" s="62">
        <f t="shared" si="5"/>
      </c>
      <c r="M258" s="62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 spans="1:26" x14ac:dyDescent="0.25">
      <c r="A259" s="62"/>
      <c r="B259" s="18"/>
      <c r="C259" s="18"/>
      <c r="D259" s="62"/>
      <c r="E259" s="62"/>
      <c r="F259" s="62"/>
      <c r="G259" s="62"/>
      <c r="H259" s="62"/>
      <c r="I259" s="62"/>
      <c r="J259" s="62"/>
      <c r="K259" s="62"/>
      <c r="L259" s="62">
        <f t="shared" si="5"/>
      </c>
      <c r="M259" s="62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 spans="1:26" x14ac:dyDescent="0.25">
      <c r="A260" s="62"/>
      <c r="B260" s="18"/>
      <c r="C260" s="18"/>
      <c r="D260" s="62"/>
      <c r="E260" s="62"/>
      <c r="F260" s="62"/>
      <c r="G260" s="62"/>
      <c r="H260" s="62"/>
      <c r="I260" s="62"/>
      <c r="J260" s="62"/>
      <c r="K260" s="62"/>
      <c r="L260" s="62">
        <f t="shared" si="5"/>
      </c>
      <c r="M260" s="62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 spans="1:26" x14ac:dyDescent="0.25">
      <c r="A261" s="62"/>
      <c r="B261" s="18"/>
      <c r="C261" s="18"/>
      <c r="D261" s="62"/>
      <c r="E261" s="62"/>
      <c r="F261" s="62"/>
      <c r="G261" s="62"/>
      <c r="H261" s="62"/>
      <c r="I261" s="62"/>
      <c r="J261" s="62"/>
      <c r="K261" s="62"/>
      <c r="L261" s="62">
        <f t="shared" si="5"/>
      </c>
      <c r="M261" s="62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 spans="1:26" x14ac:dyDescent="0.25">
      <c r="A262" s="62"/>
      <c r="B262" s="18"/>
      <c r="C262" s="18"/>
      <c r="D262" s="62"/>
      <c r="E262" s="62"/>
      <c r="F262" s="62"/>
      <c r="G262" s="62"/>
      <c r="H262" s="62"/>
      <c r="I262" s="62"/>
      <c r="J262" s="62"/>
      <c r="K262" s="62"/>
      <c r="L262" s="62">
        <f t="shared" si="5"/>
      </c>
      <c r="M262" s="62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 spans="1:26" x14ac:dyDescent="0.25">
      <c r="A263" s="62"/>
      <c r="B263" s="18"/>
      <c r="C263" s="18"/>
      <c r="D263" s="62"/>
      <c r="E263" s="62"/>
      <c r="F263" s="62"/>
      <c r="G263" s="62"/>
      <c r="H263" s="62"/>
      <c r="I263" s="62"/>
      <c r="J263" s="62"/>
      <c r="K263" s="62"/>
      <c r="L263" s="62">
        <f t="shared" si="5"/>
      </c>
      <c r="M263" s="62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 spans="1:26" x14ac:dyDescent="0.25">
      <c r="A264" s="62"/>
      <c r="B264" s="18"/>
      <c r="C264" s="18"/>
      <c r="D264" s="62"/>
      <c r="E264" s="62"/>
      <c r="F264" s="62"/>
      <c r="G264" s="62"/>
      <c r="H264" s="62"/>
      <c r="I264" s="62"/>
      <c r="J264" s="62"/>
      <c r="K264" s="62"/>
      <c r="L264" s="62">
        <f t="shared" si="5"/>
      </c>
      <c r="M264" s="62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 spans="1:26" x14ac:dyDescent="0.25">
      <c r="A265" s="62"/>
      <c r="B265" s="18"/>
      <c r="C265" s="18"/>
      <c r="D265" s="62"/>
      <c r="E265" s="62"/>
      <c r="F265" s="62"/>
      <c r="G265" s="62"/>
      <c r="H265" s="62"/>
      <c r="I265" s="62"/>
      <c r="J265" s="62"/>
      <c r="K265" s="62"/>
      <c r="L265" s="62">
        <f t="shared" si="5"/>
      </c>
      <c r="M265" s="62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 spans="1:26" x14ac:dyDescent="0.25">
      <c r="A266" s="62"/>
      <c r="B266" s="18"/>
      <c r="C266" s="18"/>
      <c r="D266" s="62"/>
      <c r="E266" s="62"/>
      <c r="F266" s="62"/>
      <c r="G266" s="62"/>
      <c r="H266" s="62"/>
      <c r="I266" s="62"/>
      <c r="J266" s="62"/>
      <c r="K266" s="62"/>
      <c r="L266" s="62">
        <f t="shared" si="5"/>
      </c>
      <c r="M266" s="62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 spans="1:26" x14ac:dyDescent="0.25">
      <c r="A267" s="62"/>
      <c r="B267" s="18"/>
      <c r="C267" s="18"/>
      <c r="D267" s="62"/>
      <c r="E267" s="62"/>
      <c r="F267" s="62"/>
      <c r="G267" s="62"/>
      <c r="H267" s="62"/>
      <c r="I267" s="62"/>
      <c r="J267" s="62"/>
      <c r="K267" s="62"/>
      <c r="L267" s="62">
        <f t="shared" si="5"/>
      </c>
      <c r="M267" s="62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 spans="1:26" x14ac:dyDescent="0.25">
      <c r="A268" s="62"/>
      <c r="B268" s="18"/>
      <c r="C268" s="18"/>
      <c r="D268" s="62"/>
      <c r="E268" s="62"/>
      <c r="F268" s="62"/>
      <c r="G268" s="62"/>
      <c r="H268" s="62"/>
      <c r="I268" s="62"/>
      <c r="J268" s="62"/>
      <c r="K268" s="62"/>
      <c r="L268" s="62">
        <f t="shared" si="5"/>
      </c>
      <c r="M268" s="62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 spans="1:26" x14ac:dyDescent="0.25">
      <c r="A269" s="62"/>
      <c r="B269" s="18"/>
      <c r="C269" s="18"/>
      <c r="D269" s="62"/>
      <c r="E269" s="62"/>
      <c r="F269" s="62"/>
      <c r="G269" s="62"/>
      <c r="H269" s="62"/>
      <c r="I269" s="62"/>
      <c r="J269" s="62"/>
      <c r="K269" s="62"/>
      <c r="L269" s="62">
        <f t="shared" si="5"/>
      </c>
      <c r="M269" s="62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 spans="1:26" x14ac:dyDescent="0.25">
      <c r="A270" s="62"/>
      <c r="B270" s="18"/>
      <c r="C270" s="18"/>
      <c r="D270" s="62"/>
      <c r="E270" s="62"/>
      <c r="F270" s="62"/>
      <c r="G270" s="62"/>
      <c r="H270" s="62"/>
      <c r="I270" s="62"/>
      <c r="J270" s="62"/>
      <c r="K270" s="62"/>
      <c r="L270" s="62">
        <f t="shared" si="5"/>
      </c>
      <c r="M270" s="62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 spans="1:26" x14ac:dyDescent="0.25">
      <c r="A271" s="62"/>
      <c r="B271" s="18"/>
      <c r="C271" s="18"/>
      <c r="D271" s="62"/>
      <c r="E271" s="62"/>
      <c r="F271" s="62"/>
      <c r="G271" s="62"/>
      <c r="H271" s="62"/>
      <c r="I271" s="62"/>
      <c r="J271" s="62"/>
      <c r="K271" s="62"/>
      <c r="L271" s="62">
        <f t="shared" si="5"/>
      </c>
      <c r="M271" s="62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 spans="1:26" x14ac:dyDescent="0.25">
      <c r="A272" s="62"/>
      <c r="B272" s="18"/>
      <c r="C272" s="18"/>
      <c r="D272" s="62"/>
      <c r="E272" s="62"/>
      <c r="F272" s="62"/>
      <c r="G272" s="62"/>
      <c r="H272" s="62"/>
      <c r="I272" s="62"/>
      <c r="J272" s="62"/>
      <c r="K272" s="62"/>
      <c r="L272" s="62">
        <f t="shared" si="5"/>
      </c>
      <c r="M272" s="62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 spans="1:26" x14ac:dyDescent="0.25">
      <c r="A273" s="62"/>
      <c r="B273" s="18"/>
      <c r="C273" s="18"/>
      <c r="D273" s="62"/>
      <c r="E273" s="62"/>
      <c r="F273" s="62"/>
      <c r="G273" s="62"/>
      <c r="H273" s="62"/>
      <c r="I273" s="62"/>
      <c r="J273" s="62"/>
      <c r="K273" s="62"/>
      <c r="L273" s="62">
        <f t="shared" si="5"/>
      </c>
      <c r="M273" s="62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 spans="1:26" x14ac:dyDescent="0.25">
      <c r="A274" s="62"/>
      <c r="B274" s="18"/>
      <c r="C274" s="18"/>
      <c r="D274" s="62"/>
      <c r="E274" s="62"/>
      <c r="F274" s="62"/>
      <c r="G274" s="62"/>
      <c r="H274" s="62"/>
      <c r="I274" s="62"/>
      <c r="J274" s="62"/>
      <c r="K274" s="62"/>
      <c r="L274" s="62">
        <f t="shared" si="5"/>
      </c>
      <c r="M274" s="62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 spans="1:26" x14ac:dyDescent="0.25">
      <c r="A275" s="62"/>
      <c r="B275" s="18"/>
      <c r="C275" s="18"/>
      <c r="D275" s="62"/>
      <c r="E275" s="62"/>
      <c r="F275" s="62"/>
      <c r="G275" s="62"/>
      <c r="H275" s="62"/>
      <c r="I275" s="62"/>
      <c r="J275" s="62"/>
      <c r="K275" s="62"/>
      <c r="L275" s="62">
        <f t="shared" si="5"/>
      </c>
      <c r="M275" s="62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 spans="1:26" x14ac:dyDescent="0.25">
      <c r="A276" s="62"/>
      <c r="B276" s="18"/>
      <c r="C276" s="18"/>
      <c r="D276" s="62"/>
      <c r="E276" s="62"/>
      <c r="F276" s="62"/>
      <c r="G276" s="62"/>
      <c r="H276" s="62"/>
      <c r="I276" s="62"/>
      <c r="J276" s="62"/>
      <c r="K276" s="62"/>
      <c r="L276" s="62">
        <f t="shared" si="5"/>
      </c>
      <c r="M276" s="62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 spans="1:26" x14ac:dyDescent="0.25">
      <c r="A277" s="62"/>
      <c r="B277" s="18"/>
      <c r="C277" s="18"/>
      <c r="D277" s="62"/>
      <c r="E277" s="62"/>
      <c r="F277" s="62"/>
      <c r="G277" s="62"/>
      <c r="H277" s="62"/>
      <c r="I277" s="62"/>
      <c r="J277" s="62"/>
      <c r="K277" s="62"/>
      <c r="L277" s="62">
        <f t="shared" si="5"/>
      </c>
      <c r="M277" s="62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 spans="1:26" x14ac:dyDescent="0.25">
      <c r="A278" s="62"/>
      <c r="B278" s="18"/>
      <c r="C278" s="18"/>
      <c r="D278" s="62"/>
      <c r="E278" s="62"/>
      <c r="F278" s="62"/>
      <c r="G278" s="62"/>
      <c r="H278" s="62"/>
      <c r="I278" s="62"/>
      <c r="J278" s="62"/>
      <c r="K278" s="62"/>
      <c r="L278" s="62">
        <f t="shared" si="5"/>
      </c>
      <c r="M278" s="62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 spans="1:26" x14ac:dyDescent="0.25">
      <c r="A279" s="62"/>
      <c r="B279" s="18"/>
      <c r="C279" s="18"/>
      <c r="D279" s="62"/>
      <c r="E279" s="62"/>
      <c r="F279" s="62"/>
      <c r="G279" s="62"/>
      <c r="H279" s="62"/>
      <c r="I279" s="62"/>
      <c r="J279" s="62"/>
      <c r="K279" s="62"/>
      <c r="L279" s="62">
        <f t="shared" si="5"/>
      </c>
      <c r="M279" s="62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 spans="1:26" x14ac:dyDescent="0.25">
      <c r="A280" s="62"/>
      <c r="B280" s="18"/>
      <c r="C280" s="18"/>
      <c r="D280" s="62"/>
      <c r="E280" s="62"/>
      <c r="F280" s="62"/>
      <c r="G280" s="62"/>
      <c r="H280" s="62"/>
      <c r="I280" s="62"/>
      <c r="J280" s="62"/>
      <c r="K280" s="62"/>
      <c r="L280" s="62">
        <f t="shared" si="5"/>
      </c>
      <c r="M280" s="62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 spans="1:26" x14ac:dyDescent="0.25">
      <c r="A281" s="62"/>
      <c r="B281" s="18"/>
      <c r="C281" s="18"/>
      <c r="D281" s="62"/>
      <c r="E281" s="62"/>
      <c r="F281" s="62"/>
      <c r="G281" s="62"/>
      <c r="H281" s="62"/>
      <c r="I281" s="62"/>
      <c r="J281" s="62"/>
      <c r="K281" s="62"/>
      <c r="L281" s="62">
        <f t="shared" si="5"/>
      </c>
      <c r="M281" s="62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 spans="1:26" x14ac:dyDescent="0.25">
      <c r="A282" s="62"/>
      <c r="B282" s="18"/>
      <c r="C282" s="18"/>
      <c r="D282" s="62"/>
      <c r="E282" s="62"/>
      <c r="F282" s="62"/>
      <c r="G282" s="62"/>
      <c r="H282" s="62"/>
      <c r="I282" s="62"/>
      <c r="J282" s="62"/>
      <c r="K282" s="62"/>
      <c r="L282" s="62">
        <f t="shared" si="5"/>
      </c>
      <c r="M282" s="62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 spans="1:26" x14ac:dyDescent="0.25">
      <c r="A283" s="62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62">
        <f t="shared" si="5"/>
      </c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 spans="1:26" x14ac:dyDescent="0.25">
      <c r="A284" s="62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62">
        <f t="shared" si="5"/>
      </c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 spans="1:26" x14ac:dyDescent="0.25">
      <c r="A285" s="62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62">
        <f t="shared" si="5"/>
      </c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 spans="1:26" x14ac:dyDescent="0.25">
      <c r="A286" s="62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62">
        <f t="shared" si="5"/>
      </c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 spans="1:26" x14ac:dyDescent="0.25">
      <c r="A287" s="62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62">
        <f t="shared" si="5"/>
      </c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 spans="1:26" x14ac:dyDescent="0.25">
      <c r="A288" s="62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62">
        <f t="shared" si="5"/>
      </c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 spans="1:26" x14ac:dyDescent="0.25">
      <c r="A289" s="62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62">
        <f t="shared" si="5"/>
      </c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 spans="1:26" x14ac:dyDescent="0.25">
      <c r="A290" s="62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62">
        <f t="shared" si="5"/>
      </c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 spans="1:26" x14ac:dyDescent="0.25">
      <c r="A291" s="62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62">
        <f t="shared" si="5"/>
      </c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 spans="1:26" x14ac:dyDescent="0.25">
      <c r="A292" s="62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62">
        <f t="shared" si="5"/>
      </c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 spans="1:26" x14ac:dyDescent="0.25">
      <c r="A293" s="62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62">
        <f t="shared" si="5"/>
      </c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 spans="1:26" x14ac:dyDescent="0.25">
      <c r="A294" s="62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62">
        <f t="shared" si="5"/>
      </c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 spans="1:26" x14ac:dyDescent="0.25">
      <c r="A295" s="62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62">
        <f t="shared" si="5"/>
      </c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 spans="1:26" x14ac:dyDescent="0.25">
      <c r="A296" s="62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62">
        <f t="shared" si="5"/>
      </c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 spans="1:26" x14ac:dyDescent="0.25">
      <c r="A297" s="62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62">
        <f t="shared" si="5"/>
      </c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 spans="1:26" x14ac:dyDescent="0.25">
      <c r="A298" s="62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62">
        <f t="shared" si="5"/>
      </c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 spans="1:26" x14ac:dyDescent="0.25">
      <c r="A299" s="62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62">
        <f t="shared" si="5"/>
      </c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 spans="1:26" x14ac:dyDescent="0.25">
      <c r="A300" s="62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62">
        <f t="shared" si="5"/>
      </c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 spans="1:26" x14ac:dyDescent="0.25">
      <c r="A301" s="62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62">
        <f t="shared" si="5"/>
      </c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 spans="1:26" x14ac:dyDescent="0.25">
      <c r="A302" s="62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62">
        <f t="shared" si="5"/>
      </c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 spans="1:26" x14ac:dyDescent="0.25">
      <c r="A303" s="62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62">
        <f t="shared" si="5"/>
      </c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 spans="1:26" x14ac:dyDescent="0.25">
      <c r="A304" s="62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62">
        <f t="shared" si="5"/>
      </c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 spans="1:26" x14ac:dyDescent="0.25">
      <c r="A305" s="62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62">
        <f t="shared" si="5"/>
      </c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 spans="1:26" x14ac:dyDescent="0.25">
      <c r="A306" s="62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62">
        <f t="shared" si="5"/>
      </c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 spans="1:26" x14ac:dyDescent="0.25">
      <c r="A307" s="62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62">
        <f t="shared" si="5"/>
      </c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 spans="1:26" x14ac:dyDescent="0.25">
      <c r="A308" s="62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62">
        <f t="shared" si="5"/>
      </c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 spans="1:26" x14ac:dyDescent="0.25">
      <c r="A309" s="62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62">
        <f t="shared" si="5"/>
      </c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 spans="1:26" x14ac:dyDescent="0.25">
      <c r="A310" s="62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62">
        <f t="shared" si="5"/>
      </c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 spans="1:26" x14ac:dyDescent="0.25">
      <c r="A311" s="62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62">
        <f t="shared" si="5"/>
      </c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 spans="1:26" x14ac:dyDescent="0.25">
      <c r="A312" s="62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62">
        <f t="shared" si="5"/>
      </c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 spans="1:26" x14ac:dyDescent="0.25">
      <c r="A313" s="62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62">
        <f t="shared" si="5"/>
      </c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 spans="1:26" x14ac:dyDescent="0.25">
      <c r="A314" s="62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62">
        <f t="shared" si="5"/>
      </c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 spans="1:26" x14ac:dyDescent="0.25">
      <c r="A315" s="62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62">
        <f t="shared" si="5"/>
      </c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 spans="1:26" x14ac:dyDescent="0.25">
      <c r="A316" s="62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62">
        <f t="shared" si="5"/>
      </c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 spans="1:26" x14ac:dyDescent="0.25">
      <c r="A317" s="62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62">
        <f t="shared" si="5"/>
      </c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 spans="1:26" x14ac:dyDescent="0.25">
      <c r="A318" s="62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62">
        <f t="shared" si="5"/>
      </c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 spans="1:26" x14ac:dyDescent="0.25">
      <c r="A319" s="62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62">
        <f t="shared" si="5"/>
      </c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 spans="1:26" x14ac:dyDescent="0.25">
      <c r="A320" s="62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62">
        <f t="shared" si="5"/>
      </c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 spans="1:26" x14ac:dyDescent="0.25">
      <c r="A321" s="62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62">
        <f t="shared" si="5"/>
      </c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 spans="1:26" x14ac:dyDescent="0.25">
      <c r="A322" s="62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62">
        <f t="shared" si="5"/>
      </c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 spans="1:26" x14ac:dyDescent="0.25">
      <c r="A323" s="62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62">
        <f t="shared" si="5"/>
      </c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 spans="1:26" x14ac:dyDescent="0.25">
      <c r="A324" s="62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62">
        <f t="shared" si="5"/>
      </c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 spans="1:26" x14ac:dyDescent="0.25">
      <c r="A325" s="62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62">
        <f t="shared" si="5"/>
      </c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 spans="1:26" x14ac:dyDescent="0.25">
      <c r="A326" s="62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62">
        <f t="shared" si="5"/>
      </c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 spans="1:26" x14ac:dyDescent="0.25">
      <c r="A327" s="62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62">
        <f t="shared" si="5"/>
      </c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 spans="1:26" x14ac:dyDescent="0.25">
      <c r="A328" s="62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62">
        <f t="shared" si="5"/>
      </c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 spans="1:26" x14ac:dyDescent="0.25">
      <c r="A329" s="62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62">
        <f t="shared" si="5"/>
      </c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 spans="1:26" x14ac:dyDescent="0.25">
      <c r="A330" s="62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62">
        <f t="shared" si="5"/>
      </c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 spans="1:26" x14ac:dyDescent="0.25">
      <c r="A331" s="62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62">
        <f t="shared" si="5"/>
      </c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 spans="1:26" x14ac:dyDescent="0.25">
      <c r="A332" s="62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62">
        <f t="shared" si="5"/>
      </c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 spans="1:26" x14ac:dyDescent="0.25">
      <c r="A333" s="62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62">
        <f t="shared" si="5"/>
      </c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 spans="1:26" x14ac:dyDescent="0.25">
      <c r="A334" s="62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62">
        <f t="shared" si="5"/>
      </c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 spans="1:26" x14ac:dyDescent="0.25">
      <c r="A335" s="62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62">
        <f t="shared" si="5"/>
      </c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 spans="1:26" x14ac:dyDescent="0.25">
      <c r="A336" s="62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62">
        <f t="shared" si="5"/>
      </c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 spans="1:26" x14ac:dyDescent="0.25">
      <c r="A337" s="62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62">
        <f t="shared" si="5"/>
      </c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 spans="1:26" x14ac:dyDescent="0.25">
      <c r="A338" s="62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62">
        <f t="shared" si="5"/>
      </c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 spans="1:26" x14ac:dyDescent="0.25">
      <c r="A339" s="62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62">
        <f t="shared" si="5"/>
      </c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 spans="1:26" x14ac:dyDescent="0.25">
      <c r="A340" s="62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62">
        <f t="shared" si="5"/>
      </c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 spans="1:26" x14ac:dyDescent="0.25">
      <c r="A341" s="62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62">
        <f t="shared" si="5"/>
      </c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 spans="1:26" x14ac:dyDescent="0.25">
      <c r="A342" s="62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62">
        <f t="shared" si="5"/>
      </c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 spans="1:26" x14ac:dyDescent="0.25">
      <c r="A343" s="62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62">
        <f t="shared" si="5"/>
      </c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 spans="1:26" x14ac:dyDescent="0.25">
      <c r="A344" s="62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62">
        <f t="shared" si="5"/>
      </c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 spans="1:26" x14ac:dyDescent="0.25">
      <c r="A345" s="62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62">
        <f t="shared" si="5"/>
      </c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 spans="1:26" x14ac:dyDescent="0.25">
      <c r="A346" s="62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62">
        <f t="shared" si="5"/>
      </c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 spans="1:26" x14ac:dyDescent="0.25">
      <c r="A347" s="62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62">
        <f t="shared" si="5"/>
      </c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 spans="1:26" x14ac:dyDescent="0.25">
      <c r="A348" s="62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62">
        <f t="shared" si="5"/>
      </c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 spans="1:26" x14ac:dyDescent="0.25">
      <c r="A349" s="62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62">
        <f t="shared" si="5"/>
      </c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 spans="1:26" x14ac:dyDescent="0.25">
      <c r="A350" s="62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62">
        <f t="shared" si="5"/>
      </c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 spans="1:26" x14ac:dyDescent="0.25">
      <c r="A351" s="62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62">
        <f t="shared" si="5"/>
      </c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 spans="1:26" x14ac:dyDescent="0.25">
      <c r="A352" s="62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62">
        <f t="shared" si="5"/>
      </c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 spans="1:26" x14ac:dyDescent="0.25">
      <c r="A353" s="62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62">
        <f t="shared" si="5"/>
      </c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 spans="1:26" x14ac:dyDescent="0.25">
      <c r="A354" s="62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62">
        <f t="shared" si="5"/>
      </c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 spans="1:26" x14ac:dyDescent="0.25">
      <c r="A355" s="62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62">
        <f t="shared" si="5"/>
      </c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 spans="1:26" x14ac:dyDescent="0.25">
      <c r="A356" s="62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62">
        <f t="shared" si="5"/>
      </c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 spans="1:26" x14ac:dyDescent="0.25">
      <c r="A357" s="62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62">
        <f t="shared" si="5"/>
      </c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 spans="1:26" x14ac:dyDescent="0.25">
      <c r="A358" s="62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62">
        <f t="shared" si="5"/>
      </c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 spans="1:26" x14ac:dyDescent="0.25">
      <c r="A359" s="62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62">
        <f t="shared" si="5"/>
      </c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 spans="1:26" x14ac:dyDescent="0.25">
      <c r="A360" s="62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62">
        <f t="shared" si="5"/>
      </c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 spans="1:26" x14ac:dyDescent="0.25">
      <c r="A361" s="62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62">
        <f t="shared" si="5"/>
      </c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 spans="1:26" x14ac:dyDescent="0.25">
      <c r="A362" s="62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62">
        <f t="shared" si="5"/>
      </c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 spans="1:26" x14ac:dyDescent="0.25">
      <c r="A363" s="62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62">
        <f t="shared" si="5"/>
      </c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 spans="1:26" x14ac:dyDescent="0.25">
      <c r="A364" s="62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62">
        <f t="shared" si="5"/>
      </c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 spans="1:26" x14ac:dyDescent="0.25">
      <c r="A365" s="62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62">
        <f t="shared" si="5"/>
      </c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 spans="1:26" x14ac:dyDescent="0.25">
      <c r="A366" s="62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62">
        <f t="shared" si="5"/>
      </c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 spans="1:26" x14ac:dyDescent="0.25">
      <c r="A367" s="62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62">
        <f t="shared" si="5"/>
      </c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 spans="1:26" x14ac:dyDescent="0.25">
      <c r="A368" s="62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62">
        <f t="shared" si="5"/>
      </c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 spans="1:26" x14ac:dyDescent="0.25">
      <c r="A369" s="62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62">
        <f t="shared" si="5"/>
      </c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 spans="1:26" x14ac:dyDescent="0.25">
      <c r="A370" s="62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62">
        <f t="shared" si="5"/>
      </c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 spans="1:26" x14ac:dyDescent="0.25">
      <c r="A371" s="62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62">
        <f t="shared" si="5"/>
      </c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 spans="1:26" x14ac:dyDescent="0.25">
      <c r="A372" s="62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62">
        <f t="shared" si="5"/>
      </c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 spans="1:26" x14ac:dyDescent="0.25">
      <c r="A373" s="62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62">
        <f t="shared" si="5"/>
      </c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 spans="1:26" x14ac:dyDescent="0.25">
      <c r="A374" s="62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62">
        <f t="shared" si="5"/>
      </c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 spans="1:26" x14ac:dyDescent="0.25">
      <c r="A375" s="62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62">
        <f t="shared" si="5"/>
      </c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 spans="1:26" x14ac:dyDescent="0.25">
      <c r="A376" s="62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62">
        <f t="shared" si="5"/>
      </c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 spans="1:26" x14ac:dyDescent="0.25">
      <c r="A377" s="62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62">
        <f t="shared" si="5"/>
      </c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 spans="1:26" x14ac:dyDescent="0.25">
      <c r="A378" s="62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62">
        <f t="shared" si="5"/>
      </c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 spans="1:26" x14ac:dyDescent="0.25">
      <c r="A379" s="62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62">
        <f t="shared" si="5"/>
      </c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 spans="1:26" x14ac:dyDescent="0.25">
      <c r="A380" s="62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62">
        <f t="shared" si="5"/>
      </c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 spans="1:26" x14ac:dyDescent="0.25">
      <c r="A381" s="62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62">
        <f t="shared" si="5"/>
      </c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 spans="1:26" x14ac:dyDescent="0.25">
      <c r="A382" s="62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62">
        <f t="shared" si="5"/>
      </c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 spans="1:26" x14ac:dyDescent="0.25">
      <c r="A383" s="62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62">
        <f t="shared" si="5"/>
      </c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 spans="1:26" x14ac:dyDescent="0.25">
      <c r="A384" s="62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62">
        <f t="shared" si="5"/>
      </c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 spans="1:26" x14ac:dyDescent="0.25">
      <c r="A385" s="62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62">
        <f t="shared" si="5"/>
      </c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 spans="1:26" x14ac:dyDescent="0.25">
      <c r="A386" s="62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62">
        <f t="shared" si="5"/>
      </c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 spans="1:26" x14ac:dyDescent="0.25">
      <c r="A387" s="62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62">
        <f t="shared" si="5"/>
      </c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 spans="1:26" x14ac:dyDescent="0.25">
      <c r="A388" s="62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62">
        <f t="shared" si="5"/>
      </c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 spans="1:26" x14ac:dyDescent="0.25">
      <c r="A389" s="62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62">
        <f t="shared" si="5"/>
      </c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 spans="1:26" x14ac:dyDescent="0.25">
      <c r="A390" s="62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62">
        <f t="shared" si="5"/>
      </c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 spans="1:26" x14ac:dyDescent="0.25">
      <c r="A391" s="62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62">
        <f t="shared" si="5"/>
      </c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 spans="1:26" x14ac:dyDescent="0.25">
      <c r="A392" s="62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62">
        <f t="shared" si="5"/>
      </c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 spans="1:26" x14ac:dyDescent="0.25">
      <c r="A393" s="62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62">
        <f t="shared" si="5"/>
      </c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 spans="1:26" x14ac:dyDescent="0.25">
      <c r="A394" s="62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62">
        <f t="shared" si="5"/>
      </c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 spans="1:26" x14ac:dyDescent="0.25">
      <c r="A395" s="62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62">
        <f t="shared" si="5"/>
      </c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 spans="1:26" x14ac:dyDescent="0.25">
      <c r="A396" s="62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62">
        <f t="shared" si="5"/>
      </c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 spans="1:26" x14ac:dyDescent="0.25">
      <c r="A397" s="62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62">
        <f t="shared" si="5"/>
      </c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 spans="1:26" x14ac:dyDescent="0.25">
      <c r="A398" s="62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62">
        <f t="shared" si="5"/>
      </c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 spans="1:26" x14ac:dyDescent="0.25">
      <c r="A399" s="62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62">
        <f t="shared" si="5"/>
      </c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 spans="1:26" x14ac:dyDescent="0.25">
      <c r="A400" s="62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62">
        <f t="shared" si="5"/>
      </c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 spans="1:26" x14ac:dyDescent="0.25">
      <c r="A401" s="62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62">
        <f t="shared" si="5"/>
      </c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 spans="1:26" x14ac:dyDescent="0.25">
      <c r="A402" s="62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62">
        <f t="shared" si="5"/>
      </c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 spans="1:26" x14ac:dyDescent="0.25">
      <c r="A403" s="62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62">
        <f t="shared" si="5"/>
      </c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 spans="1:26" x14ac:dyDescent="0.25">
      <c r="A404" s="62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62">
        <f t="shared" si="5"/>
      </c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 spans="1:26" x14ac:dyDescent="0.25">
      <c r="A405" s="62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62">
        <f t="shared" si="5"/>
      </c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 spans="1:26" x14ac:dyDescent="0.25">
      <c r="A406" s="62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62">
        <f t="shared" si="5"/>
      </c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 spans="1:26" x14ac:dyDescent="0.25">
      <c r="A407" s="62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62">
        <f t="shared" si="5"/>
      </c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 spans="1:26" x14ac:dyDescent="0.25">
      <c r="A408" s="62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62">
        <f t="shared" si="5"/>
      </c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 spans="1:26" x14ac:dyDescent="0.25">
      <c r="A409" s="62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62">
        <f t="shared" si="5"/>
      </c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 spans="1:26" x14ac:dyDescent="0.25">
      <c r="A410" s="62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62">
        <f t="shared" si="5"/>
      </c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 spans="1:26" x14ac:dyDescent="0.25">
      <c r="A411" s="62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62">
        <f t="shared" si="5"/>
      </c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 spans="1:26" x14ac:dyDescent="0.25">
      <c r="A412" s="62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62">
        <f t="shared" si="5"/>
      </c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 spans="1:26" x14ac:dyDescent="0.25">
      <c r="A413" s="62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62">
        <f t="shared" si="5"/>
      </c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 spans="1:26" x14ac:dyDescent="0.25">
      <c r="A414" s="62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62">
        <f t="shared" si="5"/>
      </c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 spans="1:26" x14ac:dyDescent="0.25">
      <c r="A415" s="62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62">
        <f t="shared" si="5"/>
      </c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 spans="1:26" x14ac:dyDescent="0.25">
      <c r="A416" s="62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62">
        <f t="shared" si="5"/>
      </c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 spans="1:26" x14ac:dyDescent="0.25">
      <c r="A417" s="62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62">
        <f t="shared" si="5"/>
      </c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 spans="1:26" x14ac:dyDescent="0.25">
      <c r="A418" s="62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62">
        <f t="shared" si="5"/>
      </c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 spans="1:26" x14ac:dyDescent="0.25">
      <c r="A419" s="62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62">
        <f t="shared" si="5"/>
      </c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 spans="1:26" x14ac:dyDescent="0.25">
      <c r="A420" s="62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62">
        <f t="shared" si="5"/>
      </c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 spans="1:26" x14ac:dyDescent="0.25">
      <c r="A421" s="62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62">
        <f t="shared" si="5"/>
      </c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 spans="1:26" x14ac:dyDescent="0.25">
      <c r="A422" s="62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62">
        <f t="shared" si="5"/>
      </c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 spans="1:26" x14ac:dyDescent="0.25">
      <c r="A423" s="62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62">
        <f t="shared" si="5"/>
      </c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 spans="1:26" x14ac:dyDescent="0.25">
      <c r="A424" s="62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62">
        <f t="shared" si="5"/>
      </c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 spans="1:26" x14ac:dyDescent="0.25">
      <c r="A425" s="62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62">
        <f t="shared" si="5"/>
      </c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 spans="1:26" x14ac:dyDescent="0.25">
      <c r="A426" s="62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62">
        <f t="shared" si="5"/>
      </c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 spans="1:26" x14ac:dyDescent="0.25">
      <c r="A427" s="62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62">
        <f t="shared" si="5"/>
      </c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 spans="1:26" x14ac:dyDescent="0.25">
      <c r="A428" s="62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62">
        <f t="shared" si="5"/>
      </c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 spans="1:26" x14ac:dyDescent="0.25">
      <c r="A429" s="62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62">
        <f t="shared" si="5"/>
      </c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 spans="1:26" x14ac:dyDescent="0.25">
      <c r="A430" s="62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62">
        <f t="shared" si="5"/>
      </c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 spans="1:26" x14ac:dyDescent="0.25">
      <c r="A431" s="62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62">
        <f t="shared" si="5"/>
      </c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 spans="1:26" x14ac:dyDescent="0.25">
      <c r="A432" s="62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62">
        <f t="shared" si="5"/>
      </c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 spans="1:26" x14ac:dyDescent="0.25">
      <c r="A433" s="62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62">
        <f t="shared" si="5"/>
      </c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 spans="1:26" x14ac:dyDescent="0.25">
      <c r="A434" s="62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62">
        <f t="shared" si="5"/>
      </c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 spans="1:26" x14ac:dyDescent="0.25">
      <c r="A435" s="62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62">
        <f t="shared" si="5"/>
      </c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 spans="1:26" x14ac:dyDescent="0.25">
      <c r="A436" s="62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62">
        <f t="shared" si="5"/>
      </c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 spans="1:26" x14ac:dyDescent="0.25">
      <c r="A437" s="62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62">
        <f t="shared" si="5"/>
      </c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 spans="1:26" x14ac:dyDescent="0.25">
      <c r="A438" s="62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62">
        <f t="shared" si="5"/>
      </c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 spans="1:26" x14ac:dyDescent="0.25">
      <c r="A439" s="62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62">
        <f t="shared" si="5"/>
      </c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 spans="1:26" x14ac:dyDescent="0.25">
      <c r="A440" s="62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62">
        <f t="shared" si="5"/>
      </c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 spans="1:26" x14ac:dyDescent="0.25">
      <c r="A441" s="62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62">
        <f t="shared" si="5"/>
      </c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 spans="1:26" x14ac:dyDescent="0.25">
      <c r="A442" s="62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62">
        <f t="shared" si="5"/>
      </c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 spans="1:26" x14ac:dyDescent="0.25">
      <c r="A443" s="62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62">
        <f t="shared" si="5"/>
      </c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 spans="1:26" x14ac:dyDescent="0.25">
      <c r="A444" s="62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62">
        <f t="shared" si="5"/>
      </c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 spans="1:26" x14ac:dyDescent="0.25">
      <c r="A445" s="62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62">
        <f t="shared" si="5"/>
      </c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 spans="1:26" x14ac:dyDescent="0.25">
      <c r="A446" s="62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62">
        <f t="shared" si="5"/>
      </c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 spans="1:26" x14ac:dyDescent="0.25">
      <c r="A447" s="62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62">
        <f t="shared" si="5"/>
      </c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 spans="1:26" x14ac:dyDescent="0.25">
      <c r="A448" s="62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62">
        <f t="shared" si="5"/>
      </c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 spans="1:26" x14ac:dyDescent="0.25">
      <c r="A449" s="62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62">
        <f t="shared" si="5"/>
      </c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 spans="1:26" x14ac:dyDescent="0.25">
      <c r="A450" s="62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62">
        <f t="shared" si="5"/>
      </c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 spans="1:26" x14ac:dyDescent="0.25">
      <c r="A451" s="62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62">
        <f t="shared" si="5"/>
      </c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 spans="1:26" x14ac:dyDescent="0.25">
      <c r="A452" s="62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62">
        <f t="shared" si="5"/>
      </c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 spans="1:26" x14ac:dyDescent="0.25">
      <c r="A453" s="62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62">
        <f t="shared" si="5"/>
      </c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 spans="1:26" x14ac:dyDescent="0.25">
      <c r="A454" s="62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62">
        <f t="shared" si="5"/>
      </c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 spans="1:26" x14ac:dyDescent="0.25">
      <c r="A455" s="62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62">
        <f t="shared" si="5"/>
      </c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 spans="1:26" x14ac:dyDescent="0.25">
      <c r="A456" s="62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62">
        <f t="shared" si="5"/>
      </c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 spans="1:26" x14ac:dyDescent="0.25">
      <c r="A457" s="62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62">
        <f t="shared" si="5"/>
      </c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 spans="1:26" x14ac:dyDescent="0.25">
      <c r="A458" s="62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62">
        <f t="shared" si="5"/>
      </c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 spans="1:26" x14ac:dyDescent="0.25">
      <c r="A459" s="62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62">
        <f t="shared" si="5"/>
      </c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 spans="1:26" x14ac:dyDescent="0.25">
      <c r="A460" s="62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62">
        <f t="shared" si="5"/>
      </c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 spans="1:26" x14ac:dyDescent="0.25">
      <c r="A461" s="62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62">
        <f t="shared" si="5"/>
      </c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 spans="1:26" x14ac:dyDescent="0.25">
      <c r="A462" s="62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62">
        <f t="shared" si="5"/>
      </c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 spans="1:26" x14ac:dyDescent="0.25">
      <c r="A463" s="62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62">
        <f t="shared" si="5"/>
      </c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 spans="1:26" x14ac:dyDescent="0.25">
      <c r="A464" s="62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62">
        <f t="shared" si="5"/>
      </c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 spans="1:26" x14ac:dyDescent="0.25">
      <c r="A465" s="62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62">
        <f t="shared" si="5"/>
      </c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 spans="1:26" x14ac:dyDescent="0.25">
      <c r="A466" s="62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62">
        <f t="shared" si="5"/>
      </c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 spans="1:26" x14ac:dyDescent="0.25">
      <c r="A467" s="62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62">
        <f t="shared" si="5"/>
      </c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 spans="1:26" x14ac:dyDescent="0.25">
      <c r="A468" s="62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62">
        <f t="shared" si="5"/>
      </c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 spans="1:26" x14ac:dyDescent="0.25">
      <c r="A469" s="62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62">
        <f t="shared" si="5"/>
      </c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 spans="1:26" x14ac:dyDescent="0.25">
      <c r="A470" s="62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62">
        <f t="shared" si="5"/>
      </c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 spans="1:26" x14ac:dyDescent="0.25">
      <c r="A471" s="62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62">
        <f t="shared" si="5"/>
      </c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 spans="1:26" x14ac:dyDescent="0.25">
      <c r="A472" s="62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62">
        <f t="shared" si="5"/>
      </c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 spans="1:26" x14ac:dyDescent="0.25">
      <c r="A473" s="62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62">
        <f t="shared" si="5"/>
      </c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 spans="1:26" x14ac:dyDescent="0.25">
      <c r="A474" s="62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62">
        <f t="shared" si="5"/>
      </c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 spans="1:26" x14ac:dyDescent="0.25">
      <c r="A475" s="62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62">
        <f t="shared" si="5"/>
      </c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 spans="1:26" x14ac:dyDescent="0.25">
      <c r="A476" s="62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62">
        <f t="shared" si="5"/>
      </c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 spans="1:26" x14ac:dyDescent="0.25">
      <c r="A477" s="62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62">
        <f t="shared" si="5"/>
      </c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 spans="1:26" x14ac:dyDescent="0.25">
      <c r="A478" s="62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62">
        <f t="shared" si="5"/>
      </c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 spans="1:26" x14ac:dyDescent="0.25">
      <c r="A479" s="62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62">
        <f t="shared" si="5"/>
      </c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 spans="1:26" x14ac:dyDescent="0.25">
      <c r="A480" s="62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62">
        <f t="shared" si="5"/>
      </c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 spans="1:26" x14ac:dyDescent="0.25">
      <c r="A481" s="62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62">
        <f t="shared" si="5"/>
      </c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 spans="1:26" x14ac:dyDescent="0.25">
      <c r="A482" s="62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62">
        <f t="shared" si="5"/>
      </c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 spans="1:26" x14ac:dyDescent="0.25">
      <c r="A483" s="62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62">
        <f t="shared" si="5"/>
      </c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 spans="1:26" x14ac:dyDescent="0.25">
      <c r="A484" s="62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62">
        <f t="shared" si="5"/>
      </c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 spans="1:26" x14ac:dyDescent="0.25">
      <c r="A485" s="62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62">
        <f t="shared" si="5"/>
      </c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 spans="1:26" x14ac:dyDescent="0.25">
      <c r="A486" s="62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62">
        <f t="shared" si="5"/>
      </c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 spans="1:26" x14ac:dyDescent="0.25">
      <c r="A487" s="62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62">
        <f t="shared" si="5"/>
      </c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 spans="1:26" x14ac:dyDescent="0.25">
      <c r="A488" s="62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62">
        <f t="shared" si="5"/>
      </c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 spans="1:26" x14ac:dyDescent="0.25">
      <c r="A489" s="62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62">
        <f t="shared" si="5"/>
      </c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 spans="1:26" x14ac:dyDescent="0.25">
      <c r="A490" s="62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62">
        <f t="shared" si="5"/>
      </c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 spans="1:26" x14ac:dyDescent="0.25">
      <c r="A491" s="62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62">
        <f t="shared" si="5"/>
      </c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 spans="1:26" x14ac:dyDescent="0.25">
      <c r="A492" s="62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62">
        <f t="shared" si="5"/>
      </c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 spans="1:26" x14ac:dyDescent="0.25">
      <c r="A493" s="62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62">
        <f t="shared" si="5"/>
      </c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 spans="1:26" x14ac:dyDescent="0.25">
      <c r="A494" s="62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62">
        <f t="shared" si="5"/>
      </c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 spans="1:26" x14ac:dyDescent="0.25">
      <c r="A495" s="62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62">
        <f t="shared" si="5"/>
      </c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 spans="1:26" x14ac:dyDescent="0.25">
      <c r="A496" s="62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62">
        <f t="shared" si="5"/>
      </c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 spans="1:26" x14ac:dyDescent="0.25">
      <c r="A497" s="62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62">
        <f t="shared" si="5"/>
      </c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 spans="1:26" x14ac:dyDescent="0.25">
      <c r="A498" s="62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62">
        <f t="shared" si="5"/>
      </c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 spans="1:26" x14ac:dyDescent="0.25">
      <c r="A499" s="62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62">
        <f t="shared" si="5"/>
      </c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 spans="1:26" x14ac:dyDescent="0.25">
      <c r="A500" s="62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62">
        <f t="shared" si="5"/>
      </c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 spans="1:26" x14ac:dyDescent="0.25">
      <c r="A501" s="62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62">
        <f t="shared" si="5"/>
      </c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 spans="1:26" x14ac:dyDescent="0.25">
      <c r="A502" s="62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62">
        <f t="shared" si="5"/>
      </c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 spans="1:26" x14ac:dyDescent="0.25">
      <c r="A503" s="62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62">
        <f t="shared" si="5"/>
      </c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 spans="1:26" x14ac:dyDescent="0.25">
      <c r="A504" s="62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62">
        <f t="shared" si="5"/>
      </c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 spans="1:26" x14ac:dyDescent="0.25">
      <c r="A505" s="62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62">
        <f t="shared" si="5"/>
      </c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 spans="1:26" x14ac:dyDescent="0.25">
      <c r="A506" s="62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62">
        <f t="shared" si="5"/>
      </c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 spans="1:26" x14ac:dyDescent="0.25">
      <c r="A507" s="62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62">
        <f t="shared" si="5"/>
      </c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 spans="1:26" x14ac:dyDescent="0.25">
      <c r="A508" s="62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62">
        <f t="shared" si="5"/>
      </c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 spans="1:26" x14ac:dyDescent="0.25">
      <c r="A509" s="62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62">
        <f t="shared" si="5"/>
      </c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 spans="1:26" x14ac:dyDescent="0.25">
      <c r="A510" s="62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62">
        <f t="shared" si="5"/>
      </c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 spans="1:26" x14ac:dyDescent="0.25">
      <c r="A511" s="62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62">
        <f t="shared" si="5"/>
      </c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 spans="1:26" x14ac:dyDescent="0.25">
      <c r="A512" s="62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62">
        <f t="shared" si="5"/>
      </c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 spans="1:26" x14ac:dyDescent="0.25">
      <c r="A513" s="62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62">
        <f t="shared" si="5"/>
      </c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 spans="1:26" x14ac:dyDescent="0.25">
      <c r="A514" s="62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62">
        <f t="shared" si="5"/>
      </c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 spans="1:26" x14ac:dyDescent="0.25">
      <c r="A515" s="62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62">
        <f t="shared" si="5"/>
      </c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 spans="1:26" x14ac:dyDescent="0.25">
      <c r="A516" s="62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62">
        <f t="shared" si="5"/>
      </c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 spans="1:26" x14ac:dyDescent="0.25">
      <c r="A517" s="62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62">
        <f t="shared" si="5"/>
      </c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 spans="1:26" x14ac:dyDescent="0.25">
      <c r="A518" s="62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62">
        <f t="shared" si="5"/>
      </c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 spans="1:26" x14ac:dyDescent="0.25">
      <c r="A519" s="62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62">
        <f t="shared" si="5"/>
      </c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 spans="1:26" x14ac:dyDescent="0.25">
      <c r="A520" s="62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62">
        <f t="shared" si="5"/>
      </c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 spans="1:26" x14ac:dyDescent="0.25">
      <c r="A521" s="62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62">
        <f t="shared" si="5"/>
      </c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 spans="1:26" x14ac:dyDescent="0.25">
      <c r="A522" s="62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62">
        <f t="shared" si="5"/>
      </c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 spans="1:26" x14ac:dyDescent="0.25">
      <c r="A523" s="62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62">
        <f t="shared" si="5"/>
      </c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 spans="1:26" x14ac:dyDescent="0.25">
      <c r="A524" s="62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62">
        <f t="shared" si="5"/>
      </c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 spans="1:26" x14ac:dyDescent="0.25">
      <c r="A525" s="62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62">
        <f t="shared" si="5"/>
      </c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 spans="1:26" x14ac:dyDescent="0.25">
      <c r="A526" s="62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62">
        <f t="shared" si="5"/>
      </c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 spans="1:26" x14ac:dyDescent="0.25">
      <c r="A527" s="62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62">
        <f t="shared" si="5"/>
      </c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 spans="1:26" x14ac:dyDescent="0.25">
      <c r="A528" s="62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62">
        <f t="shared" si="5"/>
      </c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 spans="1:26" x14ac:dyDescent="0.25">
      <c r="A529" s="62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62">
        <f t="shared" si="5"/>
      </c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 spans="1:26" x14ac:dyDescent="0.25">
      <c r="A530" s="62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62">
        <f t="shared" si="5"/>
      </c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 spans="1:26" x14ac:dyDescent="0.25">
      <c r="A531" s="62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62">
        <f t="shared" si="5"/>
      </c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 spans="1:26" x14ac:dyDescent="0.25">
      <c r="A532" s="62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62">
        <f t="shared" si="5"/>
      </c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 spans="1:26" x14ac:dyDescent="0.25">
      <c r="A533" s="62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62">
        <f t="shared" si="5"/>
      </c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 spans="1:26" x14ac:dyDescent="0.25">
      <c r="A534" s="62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62">
        <f t="shared" si="5"/>
      </c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 spans="1:26" x14ac:dyDescent="0.25">
      <c r="A535" s="62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62">
        <f t="shared" si="5"/>
      </c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 spans="1:26" x14ac:dyDescent="0.25">
      <c r="A536" s="62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62">
        <f t="shared" si="5"/>
      </c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 spans="1:26" x14ac:dyDescent="0.25">
      <c r="A537" s="62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62">
        <f t="shared" si="5"/>
      </c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 spans="1:26" x14ac:dyDescent="0.25">
      <c r="A538" s="62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62">
        <f t="shared" si="5"/>
      </c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 spans="1:26" x14ac:dyDescent="0.25">
      <c r="A539" s="62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62">
        <f t="shared" si="5"/>
      </c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 spans="1:26" x14ac:dyDescent="0.25">
      <c r="A540" s="62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62">
        <f t="shared" si="5"/>
      </c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 spans="1:26" x14ac:dyDescent="0.25">
      <c r="A541" s="62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62">
        <f t="shared" si="5"/>
      </c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 spans="1:26" x14ac:dyDescent="0.25">
      <c r="A542" s="62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62">
        <f t="shared" si="5"/>
      </c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 spans="1:26" x14ac:dyDescent="0.25">
      <c r="A543" s="62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62">
        <f t="shared" si="5"/>
      </c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 spans="1:26" x14ac:dyDescent="0.25">
      <c r="A544" s="62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62">
        <f t="shared" si="5"/>
      </c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 spans="1:26" x14ac:dyDescent="0.25">
      <c r="A545" s="62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62">
        <f t="shared" si="5"/>
      </c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 spans="1:26" x14ac:dyDescent="0.25">
      <c r="A546" s="62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62">
        <f t="shared" si="5"/>
      </c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 spans="1:26" x14ac:dyDescent="0.25">
      <c r="A547" s="62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62">
        <f t="shared" si="5"/>
      </c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 spans="1:26" x14ac:dyDescent="0.25">
      <c r="A548" s="62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62">
        <f t="shared" si="5"/>
      </c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 spans="1:26" x14ac:dyDescent="0.25">
      <c r="A549" s="62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62">
        <f t="shared" si="5"/>
      </c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 spans="1:26" x14ac:dyDescent="0.25">
      <c r="A550" s="62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62">
        <f t="shared" si="5"/>
      </c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 spans="1:26" x14ac:dyDescent="0.25">
      <c r="A551" s="62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62">
        <f t="shared" si="5"/>
      </c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 spans="1:26" x14ac:dyDescent="0.25">
      <c r="A552" s="62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62">
        <f t="shared" si="5"/>
      </c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 spans="1:26" x14ac:dyDescent="0.25">
      <c r="A553" s="62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62">
        <f t="shared" si="5"/>
      </c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 spans="1:26" x14ac:dyDescent="0.25">
      <c r="A554" s="62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62">
        <f t="shared" si="5"/>
      </c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 spans="1:26" x14ac:dyDescent="0.25">
      <c r="A555" s="62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62">
        <f t="shared" si="5"/>
      </c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 spans="1:26" x14ac:dyDescent="0.25">
      <c r="A556" s="62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62">
        <f t="shared" si="5"/>
      </c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 spans="1:26" x14ac:dyDescent="0.25">
      <c r="A557" s="62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62">
        <f t="shared" si="5"/>
      </c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 spans="1:26" x14ac:dyDescent="0.25">
      <c r="A558" s="62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62">
        <f t="shared" si="5"/>
      </c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 spans="1:26" x14ac:dyDescent="0.25">
      <c r="A559" s="62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62">
        <f t="shared" si="5"/>
      </c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 spans="1:26" x14ac:dyDescent="0.25">
      <c r="A560" s="62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62">
        <f t="shared" si="5"/>
      </c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 spans="1:26" x14ac:dyDescent="0.25">
      <c r="A561" s="62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62">
        <f t="shared" si="5"/>
      </c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 spans="1:26" x14ac:dyDescent="0.25">
      <c r="A562" s="62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62">
        <f t="shared" si="5"/>
      </c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 spans="1:26" x14ac:dyDescent="0.25">
      <c r="A563" s="62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62">
        <f t="shared" si="5"/>
      </c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 spans="1:26" x14ac:dyDescent="0.25">
      <c r="A564" s="62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62">
        <f t="shared" si="5"/>
      </c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 spans="1:26" x14ac:dyDescent="0.25">
      <c r="A565" s="62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62">
        <f t="shared" si="5"/>
      </c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 spans="1:26" x14ac:dyDescent="0.25">
      <c r="A566" s="62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62">
        <f t="shared" si="5"/>
      </c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 spans="1:26" x14ac:dyDescent="0.25">
      <c r="A567" s="62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62">
        <f t="shared" si="5"/>
      </c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 spans="1:26" x14ac:dyDescent="0.25">
      <c r="A568" s="62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62">
        <f t="shared" si="5"/>
      </c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 spans="1:26" x14ac:dyDescent="0.25">
      <c r="A569" s="62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62">
        <f t="shared" si="5"/>
      </c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 spans="1:26" x14ac:dyDescent="0.25">
      <c r="A570" s="62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62">
        <f t="shared" si="5"/>
      </c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 spans="1:26" x14ac:dyDescent="0.25">
      <c r="A571" s="62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62">
        <f t="shared" si="5"/>
      </c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 spans="1:26" x14ac:dyDescent="0.25">
      <c r="A572" s="62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62">
        <f t="shared" si="5"/>
      </c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 spans="1:26" x14ac:dyDescent="0.25">
      <c r="A573" s="62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62">
        <f t="shared" si="5"/>
      </c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 spans="1:26" x14ac:dyDescent="0.25">
      <c r="A574" s="62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62">
        <f t="shared" si="5"/>
      </c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 spans="1:26" x14ac:dyDescent="0.25">
      <c r="A575" s="62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62">
        <f t="shared" si="5"/>
      </c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 spans="1:26" x14ac:dyDescent="0.25">
      <c r="A576" s="62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62">
        <f t="shared" si="5"/>
      </c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 spans="1:26" x14ac:dyDescent="0.25">
      <c r="A577" s="62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62">
        <f t="shared" si="5"/>
      </c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 spans="1:26" x14ac:dyDescent="0.25">
      <c r="A578" s="62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62">
        <f t="shared" si="5"/>
      </c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 spans="1:26" x14ac:dyDescent="0.25">
      <c r="A579" s="62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62">
        <f t="shared" si="5"/>
      </c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 spans="1:26" x14ac:dyDescent="0.25">
      <c r="A580" s="62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62">
        <f t="shared" si="5"/>
      </c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 spans="1:26" x14ac:dyDescent="0.25">
      <c r="A581" s="62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62">
        <f t="shared" si="5"/>
      </c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 spans="1:26" x14ac:dyDescent="0.25">
      <c r="A582" s="62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62">
        <f t="shared" si="5"/>
      </c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 spans="1:26" x14ac:dyDescent="0.25">
      <c r="A583" s="62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62">
        <f t="shared" si="5"/>
      </c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 spans="1:26" x14ac:dyDescent="0.25">
      <c r="A584" s="62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62">
        <f t="shared" si="5"/>
      </c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 spans="1:26" x14ac:dyDescent="0.25">
      <c r="A585" s="62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62">
        <f t="shared" si="5"/>
      </c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 spans="1:26" x14ac:dyDescent="0.25">
      <c r="A586" s="62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62">
        <f t="shared" si="5"/>
      </c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 spans="1:26" x14ac:dyDescent="0.25">
      <c r="A587" s="62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62">
        <f t="shared" si="5"/>
      </c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 spans="1:26" x14ac:dyDescent="0.25">
      <c r="A588" s="62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62">
        <f t="shared" si="5"/>
      </c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 spans="1:26" x14ac:dyDescent="0.25">
      <c r="A589" s="62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62">
        <f t="shared" si="5"/>
      </c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 spans="1:26" x14ac:dyDescent="0.25">
      <c r="A590" s="62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62">
        <f t="shared" si="5"/>
      </c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 spans="1:26" x14ac:dyDescent="0.25">
      <c r="A591" s="62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62">
        <f t="shared" si="5"/>
      </c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 spans="1:26" x14ac:dyDescent="0.25">
      <c r="A592" s="62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62">
        <f t="shared" si="5"/>
      </c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 spans="1:26" x14ac:dyDescent="0.25">
      <c r="A593" s="62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62">
        <f t="shared" si="5"/>
      </c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 spans="1:26" x14ac:dyDescent="0.25">
      <c r="A594" s="62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62">
        <f t="shared" si="5"/>
      </c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 spans="1:26" x14ac:dyDescent="0.25">
      <c r="A595" s="62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62">
        <f t="shared" si="5"/>
      </c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 spans="1:26" x14ac:dyDescent="0.25">
      <c r="A596" s="62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62">
        <f t="shared" si="5"/>
      </c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 spans="1:26" x14ac:dyDescent="0.25">
      <c r="A597" s="62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62">
        <f t="shared" si="5"/>
      </c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 spans="1:26" x14ac:dyDescent="0.25">
      <c r="A598" s="62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62">
        <f t="shared" si="5"/>
      </c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 spans="1:26" x14ac:dyDescent="0.25">
      <c r="A599" s="62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62">
        <f t="shared" si="5"/>
      </c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 spans="1:26" x14ac:dyDescent="0.25">
      <c r="A600" s="62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62">
        <f t="shared" si="5"/>
      </c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 spans="1:26" x14ac:dyDescent="0.25">
      <c r="A601" s="62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62">
        <f t="shared" si="5"/>
      </c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 spans="1:26" x14ac:dyDescent="0.25">
      <c r="A602" s="62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62">
        <f t="shared" si="5"/>
      </c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 spans="1:26" x14ac:dyDescent="0.25">
      <c r="A603" s="62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62">
        <f t="shared" si="5"/>
      </c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 spans="1:26" x14ac:dyDescent="0.25">
      <c r="A604" s="62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62">
        <f t="shared" si="5"/>
      </c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 spans="1:26" x14ac:dyDescent="0.25">
      <c r="A605" s="62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62">
        <f t="shared" si="5"/>
      </c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 spans="1:26" x14ac:dyDescent="0.25">
      <c r="A606" s="62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62">
        <f t="shared" si="5"/>
      </c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 spans="1:26" x14ac:dyDescent="0.25">
      <c r="A607" s="62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62">
        <f t="shared" si="5"/>
      </c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 spans="1:26" x14ac:dyDescent="0.25">
      <c r="A608" s="62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62">
        <f t="shared" si="5"/>
      </c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 spans="1:26" x14ac:dyDescent="0.25">
      <c r="A609" s="62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62">
        <f t="shared" si="5"/>
      </c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 spans="1:26" x14ac:dyDescent="0.25">
      <c r="A610" s="62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62">
        <f t="shared" si="5"/>
      </c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 spans="1:26" x14ac:dyDescent="0.25">
      <c r="A611" s="62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62">
        <f t="shared" si="5"/>
      </c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 spans="1:26" x14ac:dyDescent="0.25">
      <c r="A612" s="62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62">
        <f t="shared" si="5"/>
      </c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 spans="1:26" x14ac:dyDescent="0.25">
      <c r="A613" s="62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62">
        <f t="shared" si="5"/>
      </c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 spans="1:26" x14ac:dyDescent="0.25">
      <c r="A614" s="62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62">
        <f t="shared" si="5"/>
      </c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 spans="1:26" x14ac:dyDescent="0.25">
      <c r="A615" s="62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62">
        <f t="shared" si="5"/>
      </c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 spans="1:26" x14ac:dyDescent="0.25">
      <c r="A616" s="62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62">
        <f t="shared" si="5"/>
      </c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 spans="1:26" x14ac:dyDescent="0.25">
      <c r="A617" s="62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62">
        <f t="shared" si="5"/>
      </c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 spans="1:26" x14ac:dyDescent="0.25">
      <c r="A618" s="62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62">
        <f t="shared" si="5"/>
      </c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 spans="1:26" x14ac:dyDescent="0.25">
      <c r="A619" s="62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62">
        <f t="shared" si="5"/>
      </c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 spans="1:26" x14ac:dyDescent="0.25">
      <c r="A620" s="62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62">
        <f t="shared" si="5"/>
      </c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 spans="1:26" x14ac:dyDescent="0.25">
      <c r="A621" s="62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62">
        <f t="shared" si="5"/>
      </c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 spans="1:26" x14ac:dyDescent="0.25">
      <c r="A622" s="62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62">
        <f t="shared" si="5"/>
      </c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 spans="1:26" x14ac:dyDescent="0.25">
      <c r="A623" s="62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62">
        <f t="shared" si="5"/>
      </c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 spans="1:26" x14ac:dyDescent="0.25">
      <c r="A624" s="62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62">
        <f t="shared" si="5"/>
      </c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 spans="1:26" x14ac:dyDescent="0.25">
      <c r="A625" s="62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62">
        <f t="shared" si="5"/>
      </c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 spans="1:26" x14ac:dyDescent="0.25">
      <c r="A626" s="62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62">
        <f t="shared" si="5"/>
      </c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 spans="1:26" x14ac:dyDescent="0.25">
      <c r="A627" s="62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62">
        <f t="shared" si="5"/>
      </c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 spans="1:26" x14ac:dyDescent="0.25">
      <c r="A628" s="62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62">
        <f t="shared" si="5"/>
      </c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 spans="1:26" x14ac:dyDescent="0.25">
      <c r="A629" s="62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62">
        <f t="shared" si="5"/>
      </c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 spans="1:26" x14ac:dyDescent="0.25">
      <c r="A630" s="62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62">
        <f t="shared" si="5"/>
      </c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 spans="1:26" x14ac:dyDescent="0.25">
      <c r="A631" s="62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62">
        <f t="shared" si="5"/>
      </c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 spans="1:26" x14ac:dyDescent="0.25">
      <c r="A632" s="62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62">
        <f t="shared" si="5"/>
      </c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 spans="1:26" x14ac:dyDescent="0.25">
      <c r="A633" s="62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62">
        <f t="shared" si="5"/>
      </c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 spans="1:26" x14ac:dyDescent="0.25">
      <c r="A634" s="62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62">
        <f t="shared" si="5"/>
      </c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 spans="1:26" x14ac:dyDescent="0.25">
      <c r="A635" s="62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62">
        <f t="shared" si="5"/>
      </c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 spans="1:26" x14ac:dyDescent="0.25">
      <c r="A636" s="62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62">
        <f t="shared" si="5"/>
      </c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 spans="1:26" x14ac:dyDescent="0.25">
      <c r="A637" s="62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62">
        <f t="shared" si="5"/>
      </c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 spans="1:26" x14ac:dyDescent="0.25">
      <c r="A638" s="62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62">
        <f t="shared" si="5"/>
      </c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 spans="1:26" x14ac:dyDescent="0.25">
      <c r="A639" s="62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62">
        <f t="shared" si="5"/>
      </c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 spans="1:26" x14ac:dyDescent="0.25">
      <c r="A640" s="62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62">
        <f t="shared" si="5"/>
      </c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 spans="1:26" x14ac:dyDescent="0.25">
      <c r="A641" s="62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62">
        <f t="shared" si="5"/>
      </c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 spans="1:26" x14ac:dyDescent="0.25">
      <c r="A642" s="62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62">
        <f t="shared" si="5"/>
      </c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 spans="1:26" x14ac:dyDescent="0.25">
      <c r="A643" s="62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62">
        <f t="shared" si="5"/>
      </c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 spans="1:26" x14ac:dyDescent="0.25">
      <c r="A644" s="62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62">
        <f t="shared" si="5"/>
      </c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 spans="1:26" x14ac:dyDescent="0.25">
      <c r="A645" s="62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62">
        <f t="shared" si="5"/>
      </c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 spans="1:26" x14ac:dyDescent="0.25">
      <c r="A646" s="62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62">
        <f t="shared" si="5"/>
      </c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 spans="1:26" x14ac:dyDescent="0.25">
      <c r="A647" s="62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62">
        <f t="shared" si="5"/>
      </c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 spans="1:26" x14ac:dyDescent="0.25">
      <c r="A648" s="62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62">
        <f t="shared" si="5"/>
      </c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 spans="1:26" x14ac:dyDescent="0.25">
      <c r="A649" s="62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62">
        <f t="shared" si="5"/>
      </c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 spans="1:26" x14ac:dyDescent="0.25">
      <c r="A650" s="62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62">
        <f t="shared" si="5"/>
      </c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 spans="1:26" x14ac:dyDescent="0.25">
      <c r="A651" s="62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62">
        <f t="shared" si="5"/>
      </c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 spans="1:26" x14ac:dyDescent="0.25">
      <c r="A652" s="62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62">
        <f t="shared" si="5"/>
      </c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 spans="1:26" x14ac:dyDescent="0.25">
      <c r="A653" s="62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62">
        <f t="shared" si="5"/>
      </c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 spans="1:26" x14ac:dyDescent="0.25">
      <c r="A654" s="62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62">
        <f t="shared" si="5"/>
      </c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 spans="1:26" x14ac:dyDescent="0.25">
      <c r="A655" s="62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62">
        <f t="shared" si="5"/>
      </c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 spans="1:26" x14ac:dyDescent="0.25">
      <c r="A656" s="62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62">
        <f t="shared" si="5"/>
      </c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 spans="1:26" x14ac:dyDescent="0.25">
      <c r="A657" s="62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62">
        <f t="shared" si="5"/>
      </c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 spans="1:26" x14ac:dyDescent="0.25">
      <c r="A658" s="62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62">
        <f t="shared" si="5"/>
      </c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 spans="1:26" x14ac:dyDescent="0.25">
      <c r="A659" s="62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62">
        <f t="shared" si="5"/>
      </c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 spans="1:26" x14ac:dyDescent="0.25">
      <c r="A660" s="62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62">
        <f t="shared" si="5"/>
      </c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 spans="1:26" x14ac:dyDescent="0.25">
      <c r="A661" s="62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62">
        <f t="shared" si="5"/>
      </c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 spans="1:26" x14ac:dyDescent="0.25">
      <c r="A662" s="62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62">
        <f t="shared" si="5"/>
      </c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 spans="1:26" x14ac:dyDescent="0.25">
      <c r="A663" s="62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62">
        <f t="shared" si="5"/>
      </c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 spans="1:26" x14ac:dyDescent="0.25">
      <c r="A664" s="62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62">
        <f t="shared" si="5"/>
      </c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 spans="1:26" x14ac:dyDescent="0.25">
      <c r="A665" s="62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62">
        <f t="shared" si="5"/>
      </c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 spans="1:26" x14ac:dyDescent="0.25">
      <c r="A666" s="62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62">
        <f t="shared" si="5"/>
      </c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 spans="1:26" x14ac:dyDescent="0.25">
      <c r="A667" s="62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62">
        <f t="shared" si="5"/>
      </c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 spans="1:26" x14ac:dyDescent="0.25">
      <c r="A668" s="62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62">
        <f t="shared" si="5"/>
      </c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 spans="1:26" x14ac:dyDescent="0.25">
      <c r="A669" s="62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62">
        <f t="shared" si="5"/>
      </c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 spans="1:26" x14ac:dyDescent="0.25">
      <c r="A670" s="62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62">
        <f t="shared" si="5"/>
      </c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 spans="1:26" x14ac:dyDescent="0.25">
      <c r="A671" s="62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62">
        <f t="shared" si="5"/>
      </c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 spans="1:26" x14ac:dyDescent="0.25">
      <c r="A672" s="62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62">
        <f t="shared" si="5"/>
      </c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 spans="1:26" x14ac:dyDescent="0.25">
      <c r="A673" s="62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62">
        <f t="shared" si="5"/>
      </c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 spans="1:26" x14ac:dyDescent="0.25">
      <c r="A674" s="62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62">
        <f t="shared" si="5"/>
      </c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 spans="1:26" x14ac:dyDescent="0.25">
      <c r="A675" s="62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62">
        <f t="shared" si="5"/>
      </c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 spans="1:26" x14ac:dyDescent="0.25">
      <c r="A676" s="62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62">
        <f t="shared" si="5"/>
      </c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 spans="1:26" x14ac:dyDescent="0.25">
      <c r="A677" s="62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62">
        <f t="shared" si="5"/>
      </c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 spans="1:26" x14ac:dyDescent="0.25">
      <c r="A678" s="62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62">
        <f t="shared" si="5"/>
      </c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 spans="1:26" x14ac:dyDescent="0.25">
      <c r="A679" s="62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62">
        <f t="shared" si="5"/>
      </c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 spans="1:26" x14ac:dyDescent="0.25">
      <c r="A680" s="62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62">
        <f t="shared" si="5"/>
      </c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 spans="1:26" x14ac:dyDescent="0.25">
      <c r="A681" s="62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62">
        <f t="shared" si="5"/>
      </c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 spans="1:26" x14ac:dyDescent="0.25">
      <c r="A682" s="62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62">
        <f t="shared" si="5"/>
      </c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 spans="1:26" x14ac:dyDescent="0.25">
      <c r="A683" s="62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62">
        <f t="shared" si="5"/>
      </c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 spans="1:26" x14ac:dyDescent="0.25">
      <c r="A684" s="62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62">
        <f t="shared" si="5"/>
      </c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 spans="1:26" x14ac:dyDescent="0.25">
      <c r="A685" s="62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62">
        <f t="shared" si="5"/>
      </c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 spans="1:26" x14ac:dyDescent="0.25">
      <c r="A686" s="62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62">
        <f t="shared" si="5"/>
      </c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 spans="1:26" x14ac:dyDescent="0.25">
      <c r="A687" s="62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62">
        <f t="shared" si="5"/>
      </c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 spans="1:26" x14ac:dyDescent="0.25">
      <c r="A688" s="62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62">
        <f t="shared" si="5"/>
      </c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 spans="1:26" x14ac:dyDescent="0.25">
      <c r="A689" s="62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62">
        <f t="shared" si="5"/>
      </c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 spans="1:26" x14ac:dyDescent="0.25">
      <c r="A690" s="62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62">
        <f t="shared" si="5"/>
      </c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 spans="1:26" x14ac:dyDescent="0.25">
      <c r="A691" s="62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62">
        <f t="shared" si="5"/>
      </c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 spans="1:26" x14ac:dyDescent="0.25">
      <c r="A692" s="62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62">
        <f t="shared" si="5"/>
      </c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 spans="1:26" x14ac:dyDescent="0.25">
      <c r="A693" s="62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62">
        <f t="shared" si="5"/>
      </c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 spans="1:26" x14ac:dyDescent="0.25">
      <c r="A694" s="62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62">
        <f t="shared" si="5"/>
      </c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 spans="1:26" x14ac:dyDescent="0.25">
      <c r="A695" s="62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62">
        <f t="shared" si="5"/>
      </c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 spans="1:26" x14ac:dyDescent="0.25">
      <c r="A696" s="62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62">
        <f t="shared" si="5"/>
      </c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 spans="1:26" x14ac:dyDescent="0.25">
      <c r="A697" s="62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62">
        <f t="shared" si="5"/>
      </c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 spans="1:26" x14ac:dyDescent="0.25">
      <c r="A698" s="62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62">
        <f t="shared" si="5"/>
      </c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 spans="1:26" x14ac:dyDescent="0.25">
      <c r="A699" s="62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62">
        <f t="shared" si="5"/>
      </c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 spans="1:26" x14ac:dyDescent="0.25">
      <c r="A700" s="62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62">
        <f t="shared" si="5"/>
      </c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 spans="1:26" x14ac:dyDescent="0.25">
      <c r="A701" s="62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62">
        <f t="shared" si="5"/>
      </c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 spans="1:26" x14ac:dyDescent="0.25">
      <c r="A702" s="62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62">
        <f t="shared" si="5"/>
      </c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 spans="1:26" x14ac:dyDescent="0.25">
      <c r="A703" s="62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62">
        <f t="shared" si="5"/>
      </c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 spans="1:26" x14ac:dyDescent="0.25">
      <c r="A704" s="62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62">
        <f t="shared" si="5"/>
      </c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 spans="1:26" x14ac:dyDescent="0.25">
      <c r="A705" s="62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62">
        <f t="shared" si="5"/>
      </c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 spans="1:26" x14ac:dyDescent="0.25">
      <c r="A706" s="62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62">
        <f t="shared" si="5"/>
      </c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 spans="1:26" x14ac:dyDescent="0.25">
      <c r="A707" s="62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62">
        <f t="shared" si="5"/>
      </c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 spans="1:26" x14ac:dyDescent="0.25">
      <c r="A708" s="62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62">
        <f t="shared" si="5"/>
      </c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 spans="1:26" x14ac:dyDescent="0.25">
      <c r="A709" s="62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62">
        <f t="shared" si="5"/>
      </c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 spans="1:26" x14ac:dyDescent="0.25">
      <c r="A710" s="62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62">
        <f t="shared" si="5"/>
      </c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 spans="1:26" x14ac:dyDescent="0.25">
      <c r="A711" s="62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62">
        <f t="shared" si="5"/>
      </c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 spans="1:26" x14ac:dyDescent="0.25">
      <c r="A712" s="62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62">
        <f t="shared" si="5"/>
      </c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 spans="1:26" x14ac:dyDescent="0.25">
      <c r="A713" s="62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62">
        <f t="shared" si="5"/>
      </c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 spans="1:26" x14ac:dyDescent="0.25">
      <c r="A714" s="62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62">
        <f t="shared" si="5"/>
      </c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 spans="1:26" x14ac:dyDescent="0.25">
      <c r="A715" s="62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62">
        <f t="shared" si="5"/>
      </c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 spans="1:26" x14ac:dyDescent="0.25">
      <c r="A716" s="62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62">
        <f t="shared" si="5"/>
      </c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 spans="1:26" x14ac:dyDescent="0.25">
      <c r="A717" s="62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62">
        <f t="shared" si="5"/>
      </c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 spans="1:26" x14ac:dyDescent="0.25">
      <c r="A718" s="62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62">
        <f t="shared" si="5"/>
      </c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 spans="1:26" x14ac:dyDescent="0.25">
      <c r="A719" s="62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62">
        <f t="shared" si="5"/>
      </c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 spans="1:26" x14ac:dyDescent="0.25">
      <c r="A720" s="62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62">
        <f t="shared" si="5"/>
      </c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 spans="1:26" x14ac:dyDescent="0.25">
      <c r="A721" s="62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62">
        <f t="shared" si="5"/>
      </c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 spans="1:26" x14ac:dyDescent="0.25">
      <c r="A722" s="62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62">
        <f t="shared" si="5"/>
      </c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 spans="1:26" x14ac:dyDescent="0.25">
      <c r="A723" s="62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62">
        <f t="shared" si="5"/>
      </c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 spans="1:26" x14ac:dyDescent="0.25">
      <c r="A724" s="62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62">
        <f t="shared" si="5"/>
      </c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 spans="1:26" x14ac:dyDescent="0.25">
      <c r="A725" s="62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62">
        <f t="shared" si="5"/>
      </c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 spans="1:26" x14ac:dyDescent="0.25">
      <c r="A726" s="62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62">
        <f t="shared" si="5"/>
      </c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 spans="1:26" x14ac:dyDescent="0.25">
      <c r="A727" s="62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62">
        <f t="shared" si="5"/>
      </c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 spans="1:26" x14ac:dyDescent="0.25">
      <c r="A728" s="62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62">
        <f t="shared" si="5"/>
      </c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 spans="1:26" x14ac:dyDescent="0.25">
      <c r="A729" s="62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62">
        <f t="shared" si="5"/>
      </c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 spans="1:26" x14ac:dyDescent="0.25">
      <c r="A730" s="62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62">
        <f t="shared" si="5"/>
      </c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 spans="1:26" x14ac:dyDescent="0.25">
      <c r="A731" s="62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62">
        <f t="shared" si="5"/>
      </c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 spans="1:26" x14ac:dyDescent="0.25">
      <c r="A732" s="62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62">
        <f t="shared" si="5"/>
      </c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 spans="1:26" x14ac:dyDescent="0.25">
      <c r="A733" s="62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62">
        <f t="shared" si="5"/>
      </c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 spans="1:26" x14ac:dyDescent="0.25">
      <c r="A734" s="62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62">
        <f t="shared" si="5"/>
      </c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 spans="1:26" x14ac:dyDescent="0.25">
      <c r="A735" s="62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62">
        <f t="shared" si="5"/>
      </c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 spans="1:26" x14ac:dyDescent="0.25">
      <c r="A736" s="62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62">
        <f t="shared" si="5"/>
      </c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 spans="1:26" x14ac:dyDescent="0.25">
      <c r="A737" s="62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62">
        <f t="shared" si="5"/>
      </c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 spans="1:26" x14ac:dyDescent="0.25">
      <c r="A738" s="62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62">
        <f t="shared" si="5"/>
      </c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 spans="1:26" x14ac:dyDescent="0.25">
      <c r="A739" s="62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62">
        <f t="shared" si="5"/>
      </c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 spans="1:26" x14ac:dyDescent="0.25">
      <c r="A740" s="62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62">
        <f t="shared" si="5"/>
      </c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 spans="1:26" x14ac:dyDescent="0.25">
      <c r="A741" s="62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62">
        <f t="shared" si="5"/>
      </c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 spans="1:26" x14ac:dyDescent="0.25">
      <c r="A742" s="62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62">
        <f t="shared" si="5"/>
      </c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 spans="1:26" x14ac:dyDescent="0.25">
      <c r="A743" s="62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62">
        <f t="shared" si="5"/>
      </c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 spans="1:26" x14ac:dyDescent="0.25">
      <c r="A744" s="62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62">
        <f t="shared" si="5"/>
      </c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 spans="1:26" x14ac:dyDescent="0.25">
      <c r="A745" s="62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62">
        <f t="shared" si="5"/>
      </c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 spans="1:26" x14ac:dyDescent="0.25">
      <c r="A746" s="62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62">
        <f t="shared" si="5"/>
      </c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 spans="1:26" x14ac:dyDescent="0.25">
      <c r="A747" s="62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62">
        <f t="shared" si="5"/>
      </c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 spans="1:26" x14ac:dyDescent="0.25">
      <c r="A748" s="62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62">
        <f t="shared" si="5"/>
      </c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 spans="1:26" x14ac:dyDescent="0.25">
      <c r="A749" s="62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62">
        <f t="shared" si="5"/>
      </c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 spans="1:26" x14ac:dyDescent="0.25">
      <c r="A750" s="62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62">
        <f t="shared" si="5"/>
      </c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 spans="1:26" x14ac:dyDescent="0.25">
      <c r="A751" s="62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62">
        <f t="shared" si="5"/>
      </c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 spans="1:26" x14ac:dyDescent="0.25">
      <c r="A752" s="62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62">
        <f t="shared" si="5"/>
      </c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 spans="1:26" x14ac:dyDescent="0.25">
      <c r="A753" s="62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62">
        <f t="shared" si="5"/>
      </c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 spans="1:26" x14ac:dyDescent="0.25">
      <c r="A754" s="62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62">
        <f t="shared" si="5"/>
      </c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 spans="1:26" x14ac:dyDescent="0.25">
      <c r="A755" s="62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62">
        <f t="shared" si="5"/>
      </c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 spans="1:26" x14ac:dyDescent="0.25">
      <c r="A756" s="62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62">
        <f t="shared" si="5"/>
      </c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 spans="1:26" x14ac:dyDescent="0.25">
      <c r="A757" s="62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62">
        <f t="shared" si="5"/>
      </c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 spans="1:26" x14ac:dyDescent="0.25">
      <c r="A758" s="62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62">
        <f t="shared" si="5"/>
      </c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 spans="1:26" x14ac:dyDescent="0.25">
      <c r="A759" s="62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62">
        <f t="shared" si="5"/>
      </c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 spans="1:26" x14ac:dyDescent="0.25">
      <c r="A760" s="62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62">
        <f t="shared" si="5"/>
      </c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 spans="1:26" x14ac:dyDescent="0.25">
      <c r="A761" s="62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62">
        <f t="shared" si="5"/>
      </c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 spans="1:26" x14ac:dyDescent="0.25">
      <c r="A762" s="62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62">
        <f t="shared" si="5"/>
      </c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 spans="1:26" x14ac:dyDescent="0.25">
      <c r="A763" s="62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62">
        <f t="shared" si="5"/>
      </c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 spans="1:26" x14ac:dyDescent="0.25">
      <c r="A764" s="62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62">
        <f t="shared" si="5"/>
      </c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 spans="1:26" x14ac:dyDescent="0.25">
      <c r="A765" s="62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62">
        <f t="shared" si="5"/>
      </c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 spans="1:26" x14ac:dyDescent="0.25">
      <c r="A766" s="62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62">
        <f t="shared" si="5"/>
      </c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 spans="1:26" x14ac:dyDescent="0.25">
      <c r="A767" s="62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62">
        <f t="shared" si="5"/>
      </c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 spans="1:26" x14ac:dyDescent="0.25">
      <c r="A768" s="62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62">
        <f t="shared" si="5"/>
      </c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 spans="1:26" x14ac:dyDescent="0.25">
      <c r="A769" s="62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62">
        <f t="shared" si="5"/>
      </c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 spans="1:26" x14ac:dyDescent="0.25">
      <c r="A770" s="62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62">
        <f t="shared" si="5"/>
      </c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 spans="1:26" x14ac:dyDescent="0.25">
      <c r="A771" s="62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62">
        <f t="shared" si="5"/>
      </c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 spans="1:26" x14ac:dyDescent="0.25">
      <c r="A772" s="62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62">
        <f t="shared" si="5"/>
      </c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 spans="1:26" x14ac:dyDescent="0.25">
      <c r="A773" s="62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62">
        <f t="shared" si="5"/>
      </c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 spans="1:26" x14ac:dyDescent="0.25">
      <c r="A774" s="62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62">
        <f t="shared" si="5"/>
      </c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 spans="1:26" x14ac:dyDescent="0.25">
      <c r="A775" s="62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62">
        <f t="shared" si="5"/>
      </c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 spans="1:26" x14ac:dyDescent="0.25">
      <c r="A776" s="62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62">
        <f t="shared" si="5"/>
      </c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 spans="1:26" x14ac:dyDescent="0.25">
      <c r="A777" s="62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62">
        <f t="shared" si="5"/>
      </c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 spans="1:26" x14ac:dyDescent="0.25">
      <c r="A778" s="62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62">
        <f t="shared" si="5"/>
      </c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 spans="1:26" x14ac:dyDescent="0.25">
      <c r="A779" s="62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62">
        <f t="shared" si="5"/>
      </c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 spans="1:26" x14ac:dyDescent="0.25">
      <c r="A780" s="62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62">
        <f t="shared" si="5"/>
      </c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 spans="1:26" x14ac:dyDescent="0.25">
      <c r="A781" s="62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62">
        <f t="shared" si="5"/>
      </c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 spans="1:26" x14ac:dyDescent="0.25">
      <c r="A782" s="62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62">
        <f t="shared" si="5"/>
      </c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 spans="1:26" x14ac:dyDescent="0.25">
      <c r="A783" s="62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62">
        <f t="shared" si="5"/>
      </c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 spans="1:26" x14ac:dyDescent="0.25">
      <c r="A784" s="62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62">
        <f t="shared" si="5"/>
      </c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 spans="1:26" x14ac:dyDescent="0.25">
      <c r="A785" s="62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62">
        <f t="shared" si="5"/>
      </c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 spans="1:26" x14ac:dyDescent="0.25">
      <c r="A786" s="62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62">
        <f t="shared" si="5"/>
      </c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 spans="1:26" x14ac:dyDescent="0.25">
      <c r="A787" s="62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62">
        <f t="shared" si="5"/>
      </c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 spans="1:26" x14ac:dyDescent="0.25">
      <c r="A788" s="62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62">
        <f t="shared" si="5"/>
      </c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 spans="1:26" x14ac:dyDescent="0.25">
      <c r="A789" s="62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62">
        <f t="shared" si="5"/>
      </c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 spans="1:26" x14ac:dyDescent="0.25">
      <c r="A790" s="62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62">
        <f t="shared" si="5"/>
      </c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 spans="1:26" x14ac:dyDescent="0.25">
      <c r="A791" s="62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62">
        <f t="shared" si="5"/>
      </c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 spans="1:26" x14ac:dyDescent="0.25">
      <c r="A792" s="62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62">
        <f t="shared" si="5"/>
      </c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 spans="1:26" x14ac:dyDescent="0.25">
      <c r="A793" s="62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62">
        <f t="shared" si="5"/>
      </c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 spans="1:26" x14ac:dyDescent="0.25">
      <c r="A794" s="62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62">
        <f t="shared" si="5"/>
      </c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 spans="1:26" x14ac:dyDescent="0.25">
      <c r="A795" s="62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62">
        <f t="shared" si="5"/>
      </c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 spans="1:26" x14ac:dyDescent="0.25">
      <c r="A796" s="62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62">
        <f t="shared" si="5"/>
      </c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 spans="1:26" x14ac:dyDescent="0.25">
      <c r="A797" s="62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62">
        <f t="shared" si="5"/>
      </c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 spans="1:26" x14ac:dyDescent="0.25">
      <c r="A798" s="62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62">
        <f t="shared" si="5"/>
      </c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 spans="1:26" x14ac:dyDescent="0.25">
      <c r="A799" s="62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62">
        <f t="shared" si="5"/>
      </c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 spans="1:26" x14ac:dyDescent="0.25">
      <c r="A800" s="62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62">
        <f t="shared" si="5"/>
      </c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 spans="1:26" x14ac:dyDescent="0.25">
      <c r="A801" s="62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62">
        <f t="shared" si="5"/>
      </c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 spans="1:26" x14ac:dyDescent="0.25">
      <c r="A802" s="62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62">
        <f t="shared" si="5"/>
      </c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 spans="1:26" x14ac:dyDescent="0.25">
      <c r="A803" s="62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62">
        <f t="shared" si="5"/>
      </c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 spans="1:26" x14ac:dyDescent="0.25">
      <c r="A804" s="62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62">
        <f t="shared" si="5"/>
      </c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 spans="1:26" x14ac:dyDescent="0.25">
      <c r="A805" s="62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62">
        <f t="shared" si="5"/>
      </c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 spans="1:26" x14ac:dyDescent="0.25">
      <c r="A806" s="62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62">
        <f t="shared" si="5"/>
      </c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 spans="1:26" x14ac:dyDescent="0.25">
      <c r="A807" s="62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62">
        <f t="shared" si="5"/>
      </c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 spans="1:26" x14ac:dyDescent="0.25">
      <c r="A808" s="62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62">
        <f t="shared" si="5"/>
      </c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 spans="1:26" x14ac:dyDescent="0.25">
      <c r="A809" s="62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62">
        <f t="shared" si="5"/>
      </c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 spans="1:26" x14ac:dyDescent="0.25">
      <c r="A810" s="62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62">
        <f t="shared" si="5"/>
      </c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 spans="1:26" x14ac:dyDescent="0.25">
      <c r="A811" s="62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62">
        <f t="shared" si="5"/>
      </c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 spans="1:26" x14ac:dyDescent="0.25">
      <c r="A812" s="62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62">
        <f t="shared" si="5"/>
      </c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 spans="1:26" x14ac:dyDescent="0.25">
      <c r="A813" s="62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62">
        <f t="shared" si="5"/>
      </c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 spans="1:26" x14ac:dyDescent="0.25">
      <c r="A814" s="62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62">
        <f t="shared" si="5"/>
      </c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 spans="1:26" x14ac:dyDescent="0.25">
      <c r="A815" s="62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62">
        <f t="shared" si="5"/>
      </c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 spans="1:26" x14ac:dyDescent="0.25">
      <c r="A816" s="62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62">
        <f t="shared" si="5"/>
      </c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 spans="1:26" x14ac:dyDescent="0.25">
      <c r="A817" s="62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62">
        <f t="shared" si="5"/>
      </c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 spans="1:26" x14ac:dyDescent="0.25">
      <c r="A818" s="62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62">
        <f t="shared" si="5"/>
      </c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 spans="1:26" x14ac:dyDescent="0.25">
      <c r="A819" s="62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62">
        <f t="shared" si="5"/>
      </c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 spans="1:26" x14ac:dyDescent="0.25">
      <c r="A820" s="62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62">
        <f t="shared" si="5"/>
      </c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 spans="1:26" x14ac:dyDescent="0.25">
      <c r="A821" s="62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62">
        <f t="shared" si="5"/>
      </c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 spans="1:26" x14ac:dyDescent="0.25">
      <c r="A822" s="62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62">
        <f t="shared" si="5"/>
      </c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 spans="1:26" x14ac:dyDescent="0.25">
      <c r="A823" s="62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62">
        <f t="shared" si="5"/>
      </c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 spans="1:26" x14ac:dyDescent="0.25">
      <c r="A824" s="62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62">
        <f t="shared" si="5"/>
      </c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 spans="1:26" x14ac:dyDescent="0.25">
      <c r="A825" s="62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62">
        <f t="shared" si="5"/>
      </c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 spans="1:26" x14ac:dyDescent="0.25">
      <c r="A826" s="62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62">
        <f t="shared" si="5"/>
      </c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 spans="1:26" x14ac:dyDescent="0.25">
      <c r="A827" s="62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62">
        <f t="shared" si="5"/>
      </c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 spans="1:26" x14ac:dyDescent="0.25">
      <c r="A828" s="62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62">
        <f t="shared" si="5"/>
      </c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 spans="1:26" x14ac:dyDescent="0.25">
      <c r="A829" s="62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62">
        <f t="shared" si="5"/>
      </c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 spans="1:26" x14ac:dyDescent="0.25">
      <c r="A830" s="62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62">
        <f t="shared" si="5"/>
      </c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 spans="1:26" x14ac:dyDescent="0.25">
      <c r="A831" s="62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62">
        <f t="shared" si="5"/>
      </c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 spans="1:26" x14ac:dyDescent="0.25">
      <c r="A832" s="62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62">
        <f t="shared" si="5"/>
      </c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 spans="1:26" x14ac:dyDescent="0.25">
      <c r="A833" s="62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62">
        <f t="shared" si="5"/>
      </c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 spans="1:26" x14ac:dyDescent="0.25">
      <c r="A834" s="62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62">
        <f t="shared" si="5"/>
      </c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 spans="1:26" x14ac:dyDescent="0.25">
      <c r="A835" s="62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62">
        <f t="shared" si="5"/>
      </c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 spans="1:26" x14ac:dyDescent="0.25">
      <c r="A836" s="62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62">
        <f t="shared" si="5"/>
      </c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 spans="1:26" x14ac:dyDescent="0.25">
      <c r="A837" s="62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62">
        <f t="shared" si="5"/>
      </c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 spans="1:26" x14ac:dyDescent="0.25">
      <c r="A838" s="62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62">
        <f t="shared" si="5"/>
      </c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 spans="1:26" x14ac:dyDescent="0.25">
      <c r="A839" s="62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62">
        <f t="shared" si="5"/>
      </c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 spans="1:26" x14ac:dyDescent="0.25">
      <c r="A840" s="62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62">
        <f t="shared" si="5"/>
      </c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 spans="1:26" x14ac:dyDescent="0.25">
      <c r="A841" s="62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62">
        <f t="shared" si="5"/>
      </c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 spans="1:26" x14ac:dyDescent="0.25">
      <c r="A842" s="62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62">
        <f t="shared" si="5"/>
      </c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 spans="1:26" x14ac:dyDescent="0.25">
      <c r="A843" s="62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62">
        <f t="shared" si="5"/>
      </c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 spans="1:26" x14ac:dyDescent="0.25">
      <c r="A844" s="62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62">
        <f t="shared" si="5"/>
      </c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 spans="1:26" x14ac:dyDescent="0.25">
      <c r="A845" s="62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62">
        <f t="shared" si="5"/>
      </c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 spans="1:26" x14ac:dyDescent="0.25">
      <c r="A846" s="62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62">
        <f t="shared" si="5"/>
      </c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 spans="1:26" x14ac:dyDescent="0.25">
      <c r="A847" s="62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62">
        <f t="shared" si="5"/>
      </c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 spans="1:26" x14ac:dyDescent="0.25">
      <c r="A848" s="62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62">
        <f t="shared" si="5"/>
      </c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 spans="1:26" x14ac:dyDescent="0.25">
      <c r="A849" s="62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62">
        <f t="shared" si="5"/>
      </c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 spans="1:26" x14ac:dyDescent="0.25">
      <c r="A850" s="62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62">
        <f t="shared" si="5"/>
      </c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 spans="1:26" x14ac:dyDescent="0.25">
      <c r="A851" s="62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62">
        <f t="shared" si="5"/>
      </c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 spans="1:26" x14ac:dyDescent="0.25">
      <c r="A852" s="62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62">
        <f t="shared" si="5"/>
      </c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 spans="1:26" x14ac:dyDescent="0.25">
      <c r="A853" s="62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62">
        <f t="shared" si="5"/>
      </c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 spans="1:26" x14ac:dyDescent="0.25">
      <c r="A854" s="62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62">
        <f t="shared" si="5"/>
      </c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 spans="1:26" x14ac:dyDescent="0.25">
      <c r="A855" s="62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62">
        <f t="shared" si="5"/>
      </c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 spans="1:26" x14ac:dyDescent="0.25">
      <c r="A856" s="62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62">
        <f t="shared" si="5"/>
      </c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 spans="1:26" x14ac:dyDescent="0.25">
      <c r="A857" s="62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62">
        <f t="shared" si="5"/>
      </c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 spans="1:26" x14ac:dyDescent="0.25">
      <c r="A858" s="62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62">
        <f t="shared" si="5"/>
      </c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 spans="1:26" x14ac:dyDescent="0.25">
      <c r="A859" s="62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62">
        <f t="shared" si="5"/>
      </c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 spans="1:26" x14ac:dyDescent="0.25">
      <c r="A860" s="62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62">
        <f t="shared" si="5"/>
      </c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 spans="1:26" x14ac:dyDescent="0.25">
      <c r="A861" s="62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62">
        <f t="shared" si="5"/>
      </c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 spans="1:26" x14ac:dyDescent="0.25">
      <c r="A862" s="62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62">
        <f t="shared" si="5"/>
      </c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 spans="1:26" x14ac:dyDescent="0.25">
      <c r="A863" s="62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62">
        <f t="shared" si="5"/>
      </c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 spans="1:26" x14ac:dyDescent="0.25">
      <c r="A864" s="62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62">
        <f t="shared" si="5"/>
      </c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 spans="1:26" x14ac:dyDescent="0.25">
      <c r="A865" s="62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62">
        <f t="shared" si="5"/>
      </c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 spans="1:26" x14ac:dyDescent="0.25">
      <c r="A866" s="62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62">
        <f t="shared" si="5"/>
      </c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 spans="1:26" x14ac:dyDescent="0.25">
      <c r="A867" s="62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62">
        <f t="shared" si="5"/>
      </c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 spans="1:26" x14ac:dyDescent="0.25">
      <c r="A868" s="62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62">
        <f t="shared" si="5"/>
      </c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 spans="1:26" x14ac:dyDescent="0.25">
      <c r="A869" s="62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62">
        <f t="shared" si="5"/>
      </c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 spans="1:26" x14ac:dyDescent="0.25">
      <c r="A870" s="62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62">
        <f t="shared" si="5"/>
      </c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 spans="1:26" x14ac:dyDescent="0.25">
      <c r="A871" s="62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62">
        <f t="shared" si="5"/>
      </c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 spans="1:26" x14ac:dyDescent="0.25">
      <c r="A872" s="62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62">
        <f t="shared" si="5"/>
      </c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 spans="1:26" x14ac:dyDescent="0.25">
      <c r="A873" s="62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62">
        <f t="shared" si="5"/>
      </c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 spans="1:26" x14ac:dyDescent="0.25">
      <c r="A874" s="62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62">
        <f t="shared" si="5"/>
      </c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 spans="1:26" x14ac:dyDescent="0.25">
      <c r="A875" s="62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62">
        <f t="shared" si="5"/>
      </c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 spans="1:26" x14ac:dyDescent="0.25">
      <c r="A876" s="62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62">
        <f t="shared" si="5"/>
      </c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 spans="1:26" x14ac:dyDescent="0.25">
      <c r="A877" s="62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62">
        <f t="shared" si="5"/>
      </c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 spans="1:26" x14ac:dyDescent="0.25">
      <c r="A878" s="62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62">
        <f t="shared" si="5"/>
      </c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 spans="1:26" x14ac:dyDescent="0.25">
      <c r="A879" s="62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62">
        <f t="shared" si="5"/>
      </c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 spans="1:26" x14ac:dyDescent="0.25">
      <c r="A880" s="62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62">
        <f t="shared" si="5"/>
      </c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 spans="1:26" x14ac:dyDescent="0.25">
      <c r="A881" s="62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62">
        <f t="shared" si="5"/>
      </c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 spans="1:26" x14ac:dyDescent="0.25">
      <c r="A882" s="62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62">
        <f t="shared" si="5"/>
      </c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 spans="1:12" x14ac:dyDescent="0.25">
      <c r="A883" s="56"/>
      <c r="L883" s="62">
        <f t="shared" si="5"/>
      </c>
    </row>
    <row r="884" ht="15.75" customHeight="1" spans="1:12" x14ac:dyDescent="0.25">
      <c r="A884" s="56"/>
      <c r="L884" s="62">
        <f t="shared" si="5"/>
      </c>
    </row>
    <row r="885" ht="15.75" customHeight="1" spans="1:12" x14ac:dyDescent="0.25">
      <c r="A885" s="56"/>
      <c r="L885" s="62">
        <f t="shared" si="5"/>
      </c>
    </row>
    <row r="886" ht="15.75" customHeight="1" spans="1:12" x14ac:dyDescent="0.25">
      <c r="A886" s="56"/>
      <c r="L886" s="62">
        <f t="shared" si="5"/>
      </c>
    </row>
    <row r="887" ht="15.75" customHeight="1" spans="1:12" x14ac:dyDescent="0.25">
      <c r="A887" s="56"/>
      <c r="L887" s="62">
        <f t="shared" si="5"/>
      </c>
    </row>
    <row r="888" ht="15.75" customHeight="1" spans="1:12" x14ac:dyDescent="0.25">
      <c r="A888" s="56"/>
      <c r="L888" s="62">
        <f t="shared" si="5"/>
      </c>
    </row>
    <row r="889" ht="15.75" customHeight="1" spans="1:12" x14ac:dyDescent="0.25">
      <c r="A889" s="56"/>
      <c r="L889" s="62">
        <f t="shared" si="5"/>
      </c>
    </row>
    <row r="890" ht="15.75" customHeight="1" spans="1:12" x14ac:dyDescent="0.25">
      <c r="A890" s="56"/>
      <c r="L890" s="62">
        <f t="shared" si="5"/>
      </c>
    </row>
    <row r="891" ht="15.75" customHeight="1" spans="1:12" x14ac:dyDescent="0.25">
      <c r="A891" s="56"/>
      <c r="L891" s="62">
        <f t="shared" si="5"/>
      </c>
    </row>
    <row r="892" ht="15.75" customHeight="1" spans="1:12" x14ac:dyDescent="0.25">
      <c r="A892" s="56"/>
      <c r="L892" s="62">
        <f t="shared" si="5"/>
      </c>
    </row>
    <row r="893" ht="15.75" customHeight="1" spans="1:12" x14ac:dyDescent="0.25">
      <c r="A893" s="56"/>
      <c r="L893" s="62">
        <f t="shared" si="5"/>
      </c>
    </row>
    <row r="894" ht="15.75" customHeight="1" spans="1:12" x14ac:dyDescent="0.25">
      <c r="A894" s="56"/>
      <c r="L894" s="62">
        <f t="shared" si="5"/>
      </c>
    </row>
    <row r="895" ht="15.75" customHeight="1" spans="1:12" x14ac:dyDescent="0.25">
      <c r="A895" s="56"/>
      <c r="L895" s="62">
        <f t="shared" si="5"/>
      </c>
    </row>
    <row r="896" ht="15.75" customHeight="1" spans="1:12" x14ac:dyDescent="0.25">
      <c r="A896" s="56"/>
      <c r="L896" s="62">
        <f t="shared" si="5"/>
      </c>
    </row>
    <row r="897" ht="15.75" customHeight="1" spans="1:12" x14ac:dyDescent="0.25">
      <c r="A897" s="56"/>
      <c r="L897" s="62">
        <f t="shared" si="5"/>
      </c>
    </row>
    <row r="898" ht="15.75" customHeight="1" spans="1:12" x14ac:dyDescent="0.25">
      <c r="A898" s="56"/>
      <c r="L898" s="62">
        <f t="shared" si="5"/>
      </c>
    </row>
    <row r="899" ht="15.75" customHeight="1" spans="1:12" x14ac:dyDescent="0.25">
      <c r="A899" s="56"/>
      <c r="L899" s="62">
        <f t="shared" si="5"/>
      </c>
    </row>
    <row r="900" ht="15.75" customHeight="1" spans="1:12" x14ac:dyDescent="0.25">
      <c r="A900" s="56"/>
      <c r="L900" s="62">
        <f t="shared" si="5"/>
      </c>
    </row>
    <row r="901" ht="15.75" customHeight="1" spans="1:12" x14ac:dyDescent="0.25">
      <c r="A901" s="56"/>
      <c r="L901" s="62">
        <f t="shared" si="5"/>
      </c>
    </row>
    <row r="902" ht="15.75" customHeight="1" spans="1:12" x14ac:dyDescent="0.25">
      <c r="A902" s="56"/>
      <c r="L902" s="62">
        <f t="shared" si="5"/>
      </c>
    </row>
    <row r="903" ht="15.75" customHeight="1" spans="1:12" x14ac:dyDescent="0.25">
      <c r="A903" s="56"/>
      <c r="L903" s="62">
        <f t="shared" si="5"/>
      </c>
    </row>
    <row r="904" ht="15.75" customHeight="1" spans="1:12" x14ac:dyDescent="0.25">
      <c r="A904" s="56"/>
      <c r="L904" s="62">
        <f t="shared" si="5"/>
      </c>
    </row>
    <row r="905" ht="15.75" customHeight="1" spans="1:12" x14ac:dyDescent="0.25">
      <c r="A905" s="56"/>
      <c r="L905" s="62">
        <f t="shared" si="5"/>
      </c>
    </row>
    <row r="906" ht="15.75" customHeight="1" spans="1:12" x14ac:dyDescent="0.25">
      <c r="A906" s="56"/>
      <c r="L906" s="62">
        <f t="shared" si="5"/>
      </c>
    </row>
    <row r="907" ht="15.75" customHeight="1" spans="1:12" x14ac:dyDescent="0.25">
      <c r="A907" s="56"/>
      <c r="L907" s="62">
        <f t="shared" si="5"/>
      </c>
    </row>
    <row r="908" ht="15.75" customHeight="1" spans="1:12" x14ac:dyDescent="0.25">
      <c r="A908" s="56"/>
      <c r="L908" s="62">
        <f t="shared" si="5"/>
      </c>
    </row>
    <row r="909" ht="15.75" customHeight="1" spans="1:12" x14ac:dyDescent="0.25">
      <c r="A909" s="56"/>
      <c r="L909" s="62">
        <f t="shared" si="5"/>
      </c>
    </row>
    <row r="910" ht="15.75" customHeight="1" spans="1:12" x14ac:dyDescent="0.25">
      <c r="A910" s="56"/>
      <c r="L910" s="62">
        <f t="shared" si="5"/>
      </c>
    </row>
    <row r="911" ht="15.75" customHeight="1" spans="1:12" x14ac:dyDescent="0.25">
      <c r="A911" s="56"/>
      <c r="L911" s="62">
        <f t="shared" si="5"/>
      </c>
    </row>
    <row r="912" ht="15.75" customHeight="1" spans="1:12" x14ac:dyDescent="0.25">
      <c r="A912" s="56"/>
      <c r="L912" s="62">
        <f t="shared" si="5"/>
      </c>
    </row>
    <row r="913" ht="15.75" customHeight="1" spans="1:12" x14ac:dyDescent="0.25">
      <c r="A913" s="56"/>
      <c r="L913" s="62">
        <f t="shared" si="5"/>
      </c>
    </row>
    <row r="914" ht="15.75" customHeight="1" spans="1:12" x14ac:dyDescent="0.25">
      <c r="A914" s="56"/>
      <c r="L914" s="62">
        <f t="shared" si="5"/>
      </c>
    </row>
    <row r="915" ht="15.75" customHeight="1" spans="1:12" x14ac:dyDescent="0.25">
      <c r="A915" s="56"/>
      <c r="L915" s="62">
        <f t="shared" si="5"/>
      </c>
    </row>
    <row r="916" ht="15.75" customHeight="1" spans="1:12" x14ac:dyDescent="0.25">
      <c r="A916" s="56"/>
      <c r="L916" s="62">
        <f t="shared" si="5"/>
      </c>
    </row>
    <row r="917" ht="15.75" customHeight="1" spans="1:12" x14ac:dyDescent="0.25">
      <c r="A917" s="56"/>
      <c r="L917" s="62">
        <f t="shared" si="5"/>
      </c>
    </row>
    <row r="918" ht="15.75" customHeight="1" spans="1:12" x14ac:dyDescent="0.25">
      <c r="A918" s="56"/>
      <c r="L918" s="62">
        <f t="shared" si="5"/>
      </c>
    </row>
    <row r="919" ht="15.75" customHeight="1" spans="1:12" x14ac:dyDescent="0.25">
      <c r="A919" s="56"/>
      <c r="L919" s="62">
        <f t="shared" si="5"/>
      </c>
    </row>
    <row r="920" ht="15.75" customHeight="1" spans="1:12" x14ac:dyDescent="0.25">
      <c r="A920" s="56"/>
      <c r="L920" s="62">
        <f t="shared" si="5"/>
      </c>
    </row>
    <row r="921" ht="15.75" customHeight="1" spans="1:12" x14ac:dyDescent="0.25">
      <c r="A921" s="56"/>
      <c r="L921" s="62">
        <f t="shared" si="5"/>
      </c>
    </row>
    <row r="922" ht="15.75" customHeight="1" spans="1:12" x14ac:dyDescent="0.25">
      <c r="A922" s="56"/>
      <c r="L922" s="62">
        <f t="shared" si="5"/>
      </c>
    </row>
    <row r="923" ht="15.75" customHeight="1" spans="1:12" x14ac:dyDescent="0.25">
      <c r="A923" s="56"/>
      <c r="L923" s="62">
        <f t="shared" si="5"/>
      </c>
    </row>
    <row r="924" ht="15.75" customHeight="1" spans="1:12" x14ac:dyDescent="0.25">
      <c r="A924" s="56"/>
      <c r="L924" s="62">
        <f t="shared" si="5"/>
      </c>
    </row>
    <row r="925" ht="15.75" customHeight="1" spans="1:12" x14ac:dyDescent="0.25">
      <c r="A925" s="56"/>
      <c r="L925" s="62">
        <f t="shared" si="5"/>
      </c>
    </row>
    <row r="926" ht="15.75" customHeight="1" spans="1:12" x14ac:dyDescent="0.25">
      <c r="A926" s="56"/>
      <c r="L926" s="62">
        <f t="shared" si="5"/>
      </c>
    </row>
    <row r="927" ht="15.75" customHeight="1" spans="1:12" x14ac:dyDescent="0.25">
      <c r="A927" s="56"/>
      <c r="L927" s="62">
        <f t="shared" si="5"/>
      </c>
    </row>
    <row r="928" ht="15.75" customHeight="1" spans="1:12" x14ac:dyDescent="0.25">
      <c r="A928" s="56"/>
      <c r="L928" s="62">
        <f t="shared" si="5"/>
      </c>
    </row>
    <row r="929" ht="15.75" customHeight="1" spans="1:12" x14ac:dyDescent="0.25">
      <c r="A929" s="56"/>
      <c r="L929" s="62">
        <f t="shared" si="5"/>
      </c>
    </row>
    <row r="930" ht="15.75" customHeight="1" spans="1:12" x14ac:dyDescent="0.25">
      <c r="A930" s="56"/>
      <c r="L930" s="62">
        <f t="shared" si="5"/>
      </c>
    </row>
    <row r="931" ht="15.75" customHeight="1" spans="1:12" x14ac:dyDescent="0.25">
      <c r="A931" s="56"/>
      <c r="L931" s="62">
        <f t="shared" si="5"/>
      </c>
    </row>
    <row r="932" ht="15.75" customHeight="1" spans="1:12" x14ac:dyDescent="0.25">
      <c r="A932" s="56"/>
      <c r="L932" s="62">
        <f t="shared" si="5"/>
      </c>
    </row>
    <row r="933" ht="15.75" customHeight="1" spans="1:12" x14ac:dyDescent="0.25">
      <c r="A933" s="56"/>
      <c r="L933" s="62">
        <f t="shared" si="5"/>
      </c>
    </row>
    <row r="934" ht="15.75" customHeight="1" spans="1:12" x14ac:dyDescent="0.25">
      <c r="A934" s="56"/>
      <c r="L934" s="62">
        <f t="shared" si="5"/>
      </c>
    </row>
    <row r="935" ht="15.75" customHeight="1" spans="1:12" x14ac:dyDescent="0.25">
      <c r="A935" s="56"/>
      <c r="L935" s="62">
        <f t="shared" si="5"/>
      </c>
    </row>
    <row r="936" ht="15.75" customHeight="1" spans="1:12" x14ac:dyDescent="0.25">
      <c r="A936" s="56"/>
      <c r="L936" s="62">
        <f t="shared" si="5"/>
      </c>
    </row>
    <row r="937" ht="15.75" customHeight="1" spans="1:12" x14ac:dyDescent="0.25">
      <c r="A937" s="56"/>
      <c r="L937" s="62">
        <f t="shared" si="5"/>
      </c>
    </row>
    <row r="938" ht="15.75" customHeight="1" spans="1:12" x14ac:dyDescent="0.25">
      <c r="A938" s="56"/>
      <c r="L938" s="62">
        <f t="shared" si="5"/>
      </c>
    </row>
    <row r="939" ht="15.75" customHeight="1" spans="1:12" x14ac:dyDescent="0.25">
      <c r="A939" s="56"/>
      <c r="L939" s="62">
        <f t="shared" si="5"/>
      </c>
    </row>
    <row r="940" ht="15.75" customHeight="1" spans="1:12" x14ac:dyDescent="0.25">
      <c r="A940" s="56"/>
      <c r="L940" s="62">
        <f t="shared" si="5"/>
      </c>
    </row>
    <row r="941" ht="15.75" customHeight="1" spans="1:12" x14ac:dyDescent="0.25">
      <c r="A941" s="56"/>
      <c r="L941" s="62">
        <f t="shared" si="5"/>
      </c>
    </row>
    <row r="942" ht="15.75" customHeight="1" spans="1:12" x14ac:dyDescent="0.25">
      <c r="A942" s="56"/>
      <c r="L942" s="62">
        <f t="shared" si="5"/>
      </c>
    </row>
    <row r="943" ht="15.75" customHeight="1" spans="1:12" x14ac:dyDescent="0.25">
      <c r="A943" s="56"/>
      <c r="L943" s="62">
        <f t="shared" si="5"/>
      </c>
    </row>
    <row r="944" ht="15.75" customHeight="1" spans="1:12" x14ac:dyDescent="0.25">
      <c r="A944" s="56"/>
      <c r="L944" s="62">
        <f t="shared" si="5"/>
      </c>
    </row>
    <row r="945" ht="15.75" customHeight="1" spans="1:12" x14ac:dyDescent="0.25">
      <c r="A945" s="56"/>
      <c r="L945" s="62">
        <f t="shared" si="5"/>
      </c>
    </row>
    <row r="946" ht="15.75" customHeight="1" spans="1:12" x14ac:dyDescent="0.25">
      <c r="A946" s="56"/>
      <c r="L946" s="62">
        <f t="shared" si="5"/>
      </c>
    </row>
    <row r="947" ht="15.75" customHeight="1" spans="1:12" x14ac:dyDescent="0.25">
      <c r="A947" s="56"/>
      <c r="L947" s="62">
        <f t="shared" si="5"/>
      </c>
    </row>
    <row r="948" ht="15.75" customHeight="1" spans="1:12" x14ac:dyDescent="0.25">
      <c r="A948" s="56"/>
      <c r="L948" s="62">
        <f t="shared" si="5"/>
      </c>
    </row>
    <row r="949" ht="15.75" customHeight="1" spans="1:12" x14ac:dyDescent="0.25">
      <c r="A949" s="56"/>
      <c r="L949" s="62">
        <f t="shared" si="5"/>
      </c>
    </row>
    <row r="950" ht="15.75" customHeight="1" spans="1:12" x14ac:dyDescent="0.25">
      <c r="A950" s="56"/>
      <c r="L950" s="62">
        <f t="shared" si="5"/>
      </c>
    </row>
    <row r="951" ht="15.75" customHeight="1" spans="1:12" x14ac:dyDescent="0.25">
      <c r="A951" s="56"/>
      <c r="L951" s="62">
        <f t="shared" si="5"/>
      </c>
    </row>
    <row r="952" ht="15.75" customHeight="1" spans="1:12" x14ac:dyDescent="0.25">
      <c r="A952" s="56"/>
      <c r="L952" s="62">
        <f t="shared" si="5"/>
      </c>
    </row>
    <row r="953" ht="15.75" customHeight="1" spans="1:12" x14ac:dyDescent="0.25">
      <c r="A953" s="56"/>
      <c r="L953" s="62">
        <f t="shared" si="5"/>
      </c>
    </row>
    <row r="954" ht="15.75" customHeight="1" spans="1:12" x14ac:dyDescent="0.25">
      <c r="A954" s="56"/>
      <c r="L954" s="62">
        <f t="shared" si="5"/>
      </c>
    </row>
    <row r="955" ht="15.75" customHeight="1" spans="1:12" x14ac:dyDescent="0.25">
      <c r="A955" s="56"/>
      <c r="L955" s="62">
        <f t="shared" si="5"/>
      </c>
    </row>
    <row r="956" ht="15.75" customHeight="1" spans="1:12" x14ac:dyDescent="0.25">
      <c r="A956" s="56"/>
      <c r="L956" s="62">
        <f t="shared" si="5"/>
      </c>
    </row>
    <row r="957" ht="15.75" customHeight="1" spans="1:12" x14ac:dyDescent="0.25">
      <c r="A957" s="56"/>
      <c r="L957" s="62">
        <f t="shared" si="5"/>
      </c>
    </row>
    <row r="958" ht="15.75" customHeight="1" spans="1:12" x14ac:dyDescent="0.25">
      <c r="A958" s="56"/>
      <c r="L958" s="62">
        <f t="shared" si="5"/>
      </c>
    </row>
    <row r="959" ht="15.75" customHeight="1" spans="1:12" x14ac:dyDescent="0.25">
      <c r="A959" s="56"/>
      <c r="L959" s="62">
        <f t="shared" si="5"/>
      </c>
    </row>
    <row r="960" ht="15.75" customHeight="1" spans="1:12" x14ac:dyDescent="0.25">
      <c r="A960" s="56"/>
      <c r="L960" s="62">
        <f t="shared" si="5"/>
      </c>
    </row>
    <row r="961" ht="15.75" customHeight="1" spans="1:12" x14ac:dyDescent="0.25">
      <c r="A961" s="56"/>
      <c r="L961" s="62">
        <f t="shared" si="5"/>
      </c>
    </row>
    <row r="962" ht="15.75" customHeight="1" spans="1:12" x14ac:dyDescent="0.25">
      <c r="A962" s="56"/>
      <c r="L962" s="62">
        <f t="shared" si="5"/>
      </c>
    </row>
    <row r="963" ht="15.75" customHeight="1" spans="1:12" x14ac:dyDescent="0.25">
      <c r="A963" s="56"/>
      <c r="L963" s="62">
        <f t="shared" si="5"/>
      </c>
    </row>
    <row r="964" ht="15.75" customHeight="1" spans="1:12" x14ac:dyDescent="0.25">
      <c r="A964" s="56"/>
      <c r="L964" s="62">
        <f t="shared" si="5"/>
      </c>
    </row>
    <row r="965" ht="15.75" customHeight="1" spans="1:12" x14ac:dyDescent="0.25">
      <c r="A965" s="56"/>
      <c r="L965" s="62">
        <f t="shared" si="5"/>
      </c>
    </row>
    <row r="966" ht="15.75" customHeight="1" spans="1:12" x14ac:dyDescent="0.25">
      <c r="A966" s="56"/>
      <c r="L966" s="62">
        <f t="shared" si="5"/>
      </c>
    </row>
    <row r="967" ht="15.75" customHeight="1" spans="1:12" x14ac:dyDescent="0.25">
      <c r="A967" s="56"/>
      <c r="L967" s="62">
        <f t="shared" si="5"/>
      </c>
    </row>
    <row r="968" ht="15.75" customHeight="1" spans="1:12" x14ac:dyDescent="0.25">
      <c r="A968" s="56"/>
      <c r="L968" s="62">
        <f t="shared" si="5"/>
      </c>
    </row>
    <row r="969" ht="15.75" customHeight="1" spans="1:12" x14ac:dyDescent="0.25">
      <c r="A969" s="56"/>
      <c r="L969" s="62">
        <f t="shared" si="5"/>
      </c>
    </row>
    <row r="970" ht="15.75" customHeight="1" spans="1:12" x14ac:dyDescent="0.25">
      <c r="A970" s="56"/>
      <c r="L970" s="62">
        <f t="shared" si="5"/>
      </c>
    </row>
    <row r="971" ht="15.75" customHeight="1" spans="1:12" x14ac:dyDescent="0.25">
      <c r="A971" s="56"/>
      <c r="L971" s="62">
        <f t="shared" si="5"/>
      </c>
    </row>
    <row r="972" ht="15.75" customHeight="1" spans="1:12" x14ac:dyDescent="0.25">
      <c r="A972" s="56"/>
      <c r="L972" s="62">
        <f t="shared" si="5"/>
      </c>
    </row>
    <row r="973" ht="15.75" customHeight="1" spans="1:12" x14ac:dyDescent="0.25">
      <c r="A973" s="56"/>
      <c r="L973" s="62">
        <f t="shared" si="5"/>
      </c>
    </row>
    <row r="974" ht="15.75" customHeight="1" spans="1:12" x14ac:dyDescent="0.25">
      <c r="A974" s="56"/>
      <c r="L974" s="62">
        <f t="shared" si="5"/>
      </c>
    </row>
    <row r="975" ht="15.75" customHeight="1" spans="1:12" x14ac:dyDescent="0.25">
      <c r="A975" s="56"/>
      <c r="L975" s="62">
        <f t="shared" si="5"/>
      </c>
    </row>
    <row r="976" ht="15.75" customHeight="1" spans="1:12" x14ac:dyDescent="0.25">
      <c r="A976" s="56"/>
      <c r="L976" s="62">
        <f t="shared" si="5"/>
      </c>
    </row>
    <row r="977" ht="15.75" customHeight="1" spans="1:12" x14ac:dyDescent="0.25">
      <c r="A977" s="56"/>
      <c r="L977" s="62">
        <f t="shared" si="5"/>
      </c>
    </row>
    <row r="978" ht="15.75" customHeight="1" spans="1:12" x14ac:dyDescent="0.25">
      <c r="A978" s="56"/>
      <c r="L978" s="62">
        <f t="shared" si="5"/>
      </c>
    </row>
    <row r="979" ht="15.75" customHeight="1" spans="1:12" x14ac:dyDescent="0.25">
      <c r="A979" s="56"/>
      <c r="L979" s="62">
        <f t="shared" si="5"/>
      </c>
    </row>
    <row r="980" ht="15.75" customHeight="1" spans="1:12" x14ac:dyDescent="0.25">
      <c r="A980" s="56"/>
      <c r="L980" s="62">
        <f t="shared" si="5"/>
      </c>
    </row>
    <row r="981" ht="15.75" customHeight="1" spans="1:12" x14ac:dyDescent="0.25">
      <c r="A981" s="56"/>
      <c r="L981" s="62">
        <f t="shared" si="5"/>
      </c>
    </row>
    <row r="982" ht="15.75" customHeight="1" spans="1:12" x14ac:dyDescent="0.25">
      <c r="A982" s="56"/>
      <c r="L982" s="62">
        <f t="shared" si="5"/>
      </c>
    </row>
    <row r="983" ht="15.75" customHeight="1" spans="1:12" x14ac:dyDescent="0.25">
      <c r="A983" s="56"/>
      <c r="L983" s="62">
        <f t="shared" si="5"/>
      </c>
    </row>
    <row r="984" ht="15.75" customHeight="1" spans="1:12" x14ac:dyDescent="0.25">
      <c r="A984" s="56"/>
      <c r="L984" s="62">
        <f t="shared" si="5"/>
      </c>
    </row>
    <row r="985" ht="15.75" customHeight="1" spans="1:12" x14ac:dyDescent="0.25">
      <c r="A985" s="56"/>
      <c r="L985" s="62">
        <f t="shared" si="5"/>
      </c>
    </row>
    <row r="986" ht="15.75" customHeight="1" spans="1:12" x14ac:dyDescent="0.25">
      <c r="A986" s="56"/>
      <c r="L986" s="62">
        <f t="shared" si="5"/>
      </c>
    </row>
    <row r="987" ht="15.75" customHeight="1" spans="1:12" x14ac:dyDescent="0.25">
      <c r="A987" s="56"/>
      <c r="L987" s="62">
        <f t="shared" si="5"/>
      </c>
    </row>
    <row r="988" ht="15.75" customHeight="1" spans="1:12" x14ac:dyDescent="0.25">
      <c r="A988" s="56"/>
      <c r="L988" s="62">
        <f t="shared" si="5"/>
      </c>
    </row>
    <row r="989" ht="15.75" customHeight="1" spans="1:12" x14ac:dyDescent="0.25">
      <c r="A989" s="56"/>
      <c r="L989" s="62">
        <f t="shared" si="5"/>
      </c>
    </row>
    <row r="990" ht="15.75" customHeight="1" spans="1:12" x14ac:dyDescent="0.25">
      <c r="A990" s="56"/>
      <c r="L990" s="62">
        <f t="shared" si="5"/>
      </c>
    </row>
    <row r="991" ht="15.75" customHeight="1" spans="1:12" x14ac:dyDescent="0.25">
      <c r="A991" s="56"/>
      <c r="L991" s="62">
        <f t="shared" si="5"/>
      </c>
    </row>
    <row r="992" ht="15.75" customHeight="1" spans="1:12" x14ac:dyDescent="0.25">
      <c r="A992" s="56"/>
      <c r="L992" s="62">
        <f t="shared" si="5"/>
      </c>
    </row>
  </sheetData>
  <mergeCells count="1">
    <mergeCell ref="A1:K1"/>
  </mergeCells>
  <conditionalFormatting sqref="A12:K78 B85:C85 I85:K85 B87:B90 C87:C92 I87:K88 I91:K92">
    <cfRule type="expression" dxfId="0" priority="1">
      <formula>$A12="Header"</formula>
    </cfRule>
  </conditionalFormatting>
  <conditionalFormatting sqref="A12:K78 B85:C85 I85:K85 B87:B90 C87:C92 I87:K88 I91:K92">
    <cfRule type="expression" dxfId="1" priority="2">
      <formula>$A12="Spacer"</formula>
    </cfRule>
  </conditionalFormatting>
  <conditionalFormatting sqref="B4">
    <cfRule type="notContainsBlanks" dxfId="2" priority="3" operator="notContainsBlanks">
      <formula>LEN(TRIM(B4))&gt;0</formula>
    </cfRule>
  </conditionalFormatting>
  <dataValidations count="4">
    <dataValidation type="list" allowBlank="1" sqref="A12:A78">
      <formula1>'Rates &amp; Settings'!$D$9:$D$11</formula1>
    </dataValidation>
    <dataValidation type="list" allowBlank="1" sqref="D12:D78">
      <formula1>'Rates &amp; Settings'!$A$9:$A$21</formula1>
    </dataValidation>
    <dataValidation type="list" allowBlank="1" sqref="F12:F78">
      <formula1>'Rates &amp; Settings'!$A$9:$A$21</formula1>
    </dataValidation>
    <dataValidation type="list" allowBlank="1" sqref="H12:H78">
      <formula1>'Rates &amp; Settings'!$A$9:$A$21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34" customWidth="1"/>
    <col min="2" max="2" width="16" customWidth="1"/>
    <col min="3" max="3" width="8.63" customWidth="1"/>
    <col min="4" max="4" width="16" customWidth="1"/>
    <col min="5" max="26" width="8.63" customWidth="1"/>
  </cols>
  <sheetData>
    <row r="1" ht="27.75" customHeight="1" spans="1:26" x14ac:dyDescent="0.25">
      <c r="A1" s="1" t="s">
        <v>98</v>
      </c>
      <c r="B1"/>
      <c r="C1"/>
      <c r="D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" customHeight="1" spans="1:26" x14ac:dyDescent="0.25">
      <c r="A2" s="71"/>
      <c r="B2" s="71"/>
      <c r="C2" s="71"/>
      <c r="D2" s="7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customHeight="1" spans="1:26" x14ac:dyDescent="0.25">
      <c r="A3" s="72" t="s">
        <v>3</v>
      </c>
      <c r="B3" s="73">
        <v>0.1</v>
      </c>
      <c r="C3" s="71"/>
      <c r="D3" s="7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" customHeight="1" spans="1:26" x14ac:dyDescent="0.25">
      <c r="A4" s="72" t="s">
        <v>8</v>
      </c>
      <c r="B4" s="73">
        <v>0.1</v>
      </c>
      <c r="C4" s="71"/>
      <c r="D4" s="7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" customHeight="1" spans="1:26" x14ac:dyDescent="0.25">
      <c r="A5" s="72" t="s">
        <v>99</v>
      </c>
      <c r="B5" s="73">
        <v>0</v>
      </c>
      <c r="C5" s="71"/>
      <c r="D5" s="7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" customHeight="1" spans="1:26" x14ac:dyDescent="0.25">
      <c r="A6" s="72" t="s">
        <v>100</v>
      </c>
      <c r="B6" s="74">
        <v>2</v>
      </c>
      <c r="C6" s="71"/>
      <c r="D6" s="7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" customHeight="1" spans="1:26" x14ac:dyDescent="0.25">
      <c r="A7" s="71"/>
      <c r="B7" s="71"/>
      <c r="C7" s="71"/>
      <c r="D7" s="7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" customHeight="1" spans="1:26" x14ac:dyDescent="0.25">
      <c r="A8" s="75" t="s">
        <v>101</v>
      </c>
      <c r="B8" s="76" t="s">
        <v>102</v>
      </c>
      <c r="C8" s="77"/>
      <c r="D8" s="75" t="s">
        <v>103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" customHeight="1" spans="1:26" x14ac:dyDescent="0.25">
      <c r="A9" s="71" t="s">
        <v>36</v>
      </c>
      <c r="B9" s="78">
        <v>270</v>
      </c>
      <c r="C9" s="71"/>
      <c r="D9" s="71" t="s">
        <v>29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" customHeight="1" spans="1:26" x14ac:dyDescent="0.25">
      <c r="A10" s="71" t="s">
        <v>33</v>
      </c>
      <c r="B10" s="78">
        <v>210</v>
      </c>
      <c r="C10" s="71"/>
      <c r="D10" s="71" t="s">
        <v>31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" customHeight="1" spans="1:26" x14ac:dyDescent="0.25">
      <c r="A11" s="71" t="s">
        <v>44</v>
      </c>
      <c r="B11" s="78">
        <v>210</v>
      </c>
      <c r="C11" s="71"/>
      <c r="D11" s="71" t="s">
        <v>41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" customHeight="1" spans="1:26" x14ac:dyDescent="0.25">
      <c r="A12" s="71" t="s">
        <v>52</v>
      </c>
      <c r="B12" s="78">
        <v>230</v>
      </c>
      <c r="C12" s="71"/>
      <c r="D12" s="7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" customHeight="1" spans="1:26" x14ac:dyDescent="0.25">
      <c r="A13" s="79" t="s">
        <v>73</v>
      </c>
      <c r="B13" s="78">
        <v>250</v>
      </c>
      <c r="C13" s="71"/>
      <c r="D13" s="7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" customHeight="1" spans="1:26" x14ac:dyDescent="0.25">
      <c r="A14" s="71" t="s">
        <v>104</v>
      </c>
      <c r="B14" s="78">
        <v>220</v>
      </c>
      <c r="C14" s="71"/>
      <c r="D14" s="7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" customHeight="1" spans="1:26" x14ac:dyDescent="0.25">
      <c r="A15" s="79" t="s">
        <v>105</v>
      </c>
      <c r="B15" s="78">
        <v>210</v>
      </c>
      <c r="C15" s="71"/>
      <c r="D15" s="7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" customHeight="1" spans="1:26" x14ac:dyDescent="0.25">
      <c r="A16" s="71" t="s">
        <v>77</v>
      </c>
      <c r="B16" s="78">
        <v>170</v>
      </c>
      <c r="C16" s="71"/>
      <c r="D16" s="7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" customHeight="1" spans="1:26" x14ac:dyDescent="0.25">
      <c r="A17" s="79" t="s">
        <v>106</v>
      </c>
      <c r="B17" s="78">
        <v>210</v>
      </c>
      <c r="C17" s="71"/>
      <c r="D17" s="7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" customHeight="1" spans="1:26" x14ac:dyDescent="0.25">
      <c r="A18" s="71" t="s">
        <v>83</v>
      </c>
      <c r="B18" s="80">
        <v>170</v>
      </c>
      <c r="C18" s="71"/>
      <c r="D18" s="7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" customHeight="1" spans="1:26" x14ac:dyDescent="0.25">
      <c r="A19" s="71" t="s">
        <v>107</v>
      </c>
      <c r="B19" s="78">
        <v>200</v>
      </c>
      <c r="C19" s="71"/>
      <c r="D19" s="7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" customHeight="1" spans="1:26" x14ac:dyDescent="0.25">
      <c r="A20" s="79" t="s">
        <v>108</v>
      </c>
      <c r="B20" s="78">
        <v>170</v>
      </c>
      <c r="C20" s="71"/>
      <c r="D20" s="7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" customHeight="1" spans="1:26" x14ac:dyDescent="0.25">
      <c r="A21" s="71" t="s">
        <v>109</v>
      </c>
      <c r="B21" s="71">
        <v>200</v>
      </c>
      <c r="C21" s="71"/>
      <c r="D21" s="7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" customHeight="1" spans="1:26" x14ac:dyDescent="0.25">
      <c r="A22" s="71"/>
      <c r="B22" s="71"/>
      <c r="C22" s="71"/>
      <c r="D22" s="7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" customHeight="1" spans="1:26" x14ac:dyDescent="0.25">
      <c r="A23" s="71"/>
      <c r="B23" s="71"/>
      <c r="C23" s="71"/>
      <c r="D23" s="7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" customHeight="1" spans="1:26" x14ac:dyDescent="0.25">
      <c r="A24" s="71"/>
      <c r="B24" s="71"/>
      <c r="C24" s="71"/>
      <c r="D24" s="7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" customHeight="1" spans="1:26" x14ac:dyDescent="0.25">
      <c r="A25" s="71"/>
      <c r="B25" s="71"/>
      <c r="C25" s="71"/>
      <c r="D25" s="7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" customHeight="1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" customHeight="1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" customHeight="1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" customHeight="1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" customHeight="1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" customHeight="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" customHeight="1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" customHeight="1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" customHeight="1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" customHeight="1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" customHeight="1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" customHeight="1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" customHeight="1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" customHeight="1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" customHeight="1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" customHeight="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" customHeight="1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" customHeight="1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" customHeight="1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" customHeight="1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" customHeight="1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" customHeight="1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" customHeight="1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" customHeight="1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" customHeight="1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" customHeight="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" customHeight="1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" customHeight="1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" customHeight="1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" customHeight="1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" customHeight="1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" customHeight="1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" customHeight="1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" customHeight="1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" customHeight="1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" customHeight="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" customHeight="1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" customHeight="1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" customHeight="1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" customHeight="1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" customHeight="1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" customHeight="1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" customHeight="1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" customHeight="1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" customHeight="1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" customHeight="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" customHeight="1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" customHeight="1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" customHeight="1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" customHeight="1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" customHeight="1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" customHeight="1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" customHeight="1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" customHeight="1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" customHeight="1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" customHeight="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" customHeight="1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" customHeight="1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" customHeight="1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" customHeight="1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" customHeight="1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" customHeight="1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" customHeight="1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" customHeight="1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" customHeight="1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" customHeight="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" customHeight="1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" customHeight="1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" customHeight="1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" customHeight="1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" customHeight="1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" customHeight="1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" customHeight="1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" customHeight="1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" customHeight="1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" customHeight="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" customHeight="1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" customHeight="1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" customHeight="1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" customHeight="1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" customHeight="1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" customHeight="1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" customHeight="1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" customHeight="1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" customHeight="1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" customHeight="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" customHeight="1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" customHeight="1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" customHeight="1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" customHeight="1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" customHeight="1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" customHeight="1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" customHeight="1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" customHeight="1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" customHeight="1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" customHeight="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" customHeight="1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" customHeight="1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" customHeight="1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" customHeight="1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" customHeight="1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" customHeight="1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" customHeight="1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" customHeight="1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" customHeight="1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" customHeight="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" customHeight="1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" customHeight="1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" customHeight="1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" customHeight="1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" customHeight="1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" customHeight="1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" customHeight="1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" customHeight="1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" customHeight="1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" customHeight="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" customHeight="1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" customHeight="1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" customHeight="1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" customHeight="1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" customHeight="1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" customHeight="1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" customHeight="1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" customHeight="1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" customHeight="1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" customHeight="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" customHeight="1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" customHeight="1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" customHeight="1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" customHeight="1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" customHeight="1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" customHeight="1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" customHeight="1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" customHeight="1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" customHeight="1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" customHeight="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" customHeight="1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" customHeight="1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" customHeight="1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" customHeight="1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" customHeight="1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" customHeight="1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" customHeight="1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" customHeight="1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" customHeight="1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" customHeight="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" customHeight="1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" customHeight="1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" customHeight="1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" customHeight="1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" customHeight="1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" customHeight="1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" customHeight="1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" customHeight="1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" customHeight="1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" customHeight="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" customHeight="1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" customHeight="1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" customHeight="1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" customHeight="1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" customHeight="1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" customHeight="1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" customHeight="1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" customHeight="1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" customHeight="1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" customHeight="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" customHeight="1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" customHeight="1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" customHeight="1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" customHeight="1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" customHeight="1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" customHeight="1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" customHeight="1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" customHeight="1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" customHeight="1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" customHeight="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" customHeight="1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" customHeight="1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" customHeight="1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" customHeight="1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" customHeight="1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" customHeight="1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" customHeight="1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" customHeight="1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" customHeight="1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" customHeight="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" customHeight="1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" customHeight="1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" customHeight="1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" customHeight="1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" customHeight="1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" customHeight="1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" customHeight="1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" customHeight="1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" customHeight="1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" customHeight="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" customHeight="1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" customHeight="1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" customHeight="1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" customHeight="1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" customHeight="1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" customHeight="1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" customHeight="1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" customHeight="1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" customHeight="1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" customHeight="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" customHeight="1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" customHeight="1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" customHeight="1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" customHeight="1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" customHeight="1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" customHeight="1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" customHeight="1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" customHeight="1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" customHeight="1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" customHeight="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" customHeight="1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" customHeight="1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" customHeight="1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" customHeight="1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" customHeight="1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" customHeight="1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" customHeight="1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" customHeight="1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" customHeight="1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" customHeight="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" customHeight="1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" customHeight="1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" customHeight="1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" customHeight="1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" customHeight="1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" customHeight="1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" customHeight="1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" customHeight="1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" customHeight="1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" customHeight="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" customHeight="1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" customHeight="1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" customHeight="1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" customHeight="1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" customHeight="1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" customHeight="1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" customHeight="1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" customHeight="1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" customHeight="1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" customHeight="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" customHeight="1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" customHeight="1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" customHeight="1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" customHeight="1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" customHeight="1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" customHeight="1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" customHeight="1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" customHeight="1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" customHeight="1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" customHeight="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" customHeight="1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" customHeight="1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" customHeight="1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" customHeight="1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" customHeight="1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" customHeight="1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" customHeight="1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" customHeight="1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" customHeight="1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" customHeight="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" customHeight="1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" customHeight="1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" customHeight="1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" customHeight="1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" customHeight="1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" customHeight="1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" customHeight="1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" customHeight="1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" customHeight="1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" customHeight="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" customHeight="1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" customHeight="1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" customHeight="1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" customHeight="1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" customHeight="1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" customHeight="1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" customHeight="1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" customHeight="1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" customHeight="1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" customHeight="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" customHeight="1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" customHeight="1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" customHeight="1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" customHeight="1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" customHeight="1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" customHeight="1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" customHeight="1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" customHeight="1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" customHeight="1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" customHeight="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" customHeight="1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" customHeight="1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" customHeight="1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" customHeight="1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" customHeight="1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" customHeight="1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" customHeight="1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" customHeight="1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" customHeight="1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" customHeight="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" customHeight="1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" customHeight="1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" customHeight="1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" customHeight="1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" customHeight="1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" customHeight="1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" customHeight="1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" customHeight="1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" customHeight="1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" customHeight="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" customHeight="1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" customHeight="1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" customHeight="1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" customHeight="1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" customHeight="1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" customHeight="1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" customHeight="1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" customHeight="1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" customHeight="1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" customHeight="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" customHeight="1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" customHeight="1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" customHeight="1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" customHeight="1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" customHeight="1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" customHeight="1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" customHeight="1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" customHeight="1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" customHeight="1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" customHeight="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" customHeight="1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" customHeight="1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" customHeight="1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" customHeight="1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" customHeight="1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" customHeight="1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" customHeight="1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" customHeight="1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" customHeight="1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" customHeight="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" customHeight="1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" customHeight="1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" customHeight="1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" customHeight="1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" customHeight="1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" customHeight="1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" customHeight="1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" customHeight="1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" customHeight="1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" customHeight="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" customHeight="1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" customHeight="1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" customHeight="1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" customHeight="1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" customHeight="1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" customHeight="1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" customHeight="1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" customHeight="1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" customHeight="1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" customHeight="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" customHeight="1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" customHeight="1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" customHeight="1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" customHeight="1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" customHeight="1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" customHeight="1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" customHeight="1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" customHeight="1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" customHeight="1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" customHeight="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" customHeight="1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" customHeight="1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" customHeight="1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" customHeight="1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" customHeight="1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" customHeight="1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" customHeight="1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" customHeight="1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" customHeight="1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" customHeight="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" customHeight="1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" customHeight="1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" customHeight="1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" customHeight="1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" customHeight="1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" customHeight="1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" customHeight="1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" customHeight="1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" customHeight="1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" customHeight="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" customHeight="1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" customHeight="1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" customHeight="1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" customHeight="1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" customHeight="1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" customHeight="1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" customHeight="1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" customHeight="1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" customHeight="1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" customHeight="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" customHeight="1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" customHeight="1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" customHeight="1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" customHeight="1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" customHeight="1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" customHeight="1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" customHeight="1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" customHeight="1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" customHeight="1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" customHeight="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" customHeight="1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" customHeight="1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" customHeight="1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" customHeight="1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" customHeight="1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" customHeight="1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" customHeight="1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" customHeight="1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" customHeight="1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" customHeight="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" customHeight="1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" customHeight="1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" customHeight="1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" customHeight="1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" customHeight="1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" customHeight="1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" customHeight="1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" customHeight="1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" customHeight="1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" customHeight="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" customHeight="1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" customHeight="1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" customHeight="1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" customHeight="1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" customHeight="1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" customHeight="1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" customHeight="1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" customHeight="1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" customHeight="1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" customHeight="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" customHeight="1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" customHeight="1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" customHeight="1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" customHeight="1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" customHeight="1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" customHeight="1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" customHeight="1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" customHeight="1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" customHeight="1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" customHeight="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" customHeight="1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" customHeight="1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" customHeight="1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" customHeight="1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" customHeight="1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" customHeight="1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" customHeight="1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" customHeight="1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" customHeight="1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" customHeight="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" customHeight="1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" customHeight="1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" customHeight="1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" customHeight="1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" customHeight="1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" customHeight="1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" customHeight="1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" customHeight="1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" customHeight="1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" customHeight="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" customHeight="1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" customHeight="1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" customHeight="1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" customHeight="1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" customHeight="1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" customHeight="1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" customHeight="1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" customHeight="1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" customHeight="1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" customHeight="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" customHeight="1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" customHeight="1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" customHeight="1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" customHeight="1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" customHeight="1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" customHeight="1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" customHeight="1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" customHeight="1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" customHeight="1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" customHeight="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" customHeight="1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" customHeight="1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" customHeight="1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" customHeight="1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" customHeight="1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" customHeight="1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" customHeight="1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" customHeight="1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" customHeight="1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" customHeight="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" customHeight="1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" customHeight="1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" customHeight="1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" customHeight="1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" customHeight="1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" customHeight="1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" customHeight="1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" customHeight="1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" customHeight="1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" customHeight="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" customHeight="1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" customHeight="1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" customHeight="1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" customHeight="1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" customHeight="1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" customHeight="1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" customHeight="1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" customHeight="1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" customHeight="1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" customHeight="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" customHeight="1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" customHeight="1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" customHeight="1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" customHeight="1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" customHeight="1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" customHeight="1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" customHeight="1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" customHeight="1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" customHeight="1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" customHeight="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" customHeight="1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" customHeight="1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" customHeight="1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" customHeight="1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" customHeight="1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" customHeight="1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" customHeight="1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" customHeight="1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" customHeight="1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" customHeight="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" customHeight="1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" customHeight="1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" customHeight="1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" customHeight="1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" customHeight="1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" customHeight="1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" customHeight="1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" customHeight="1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" customHeight="1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" customHeight="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" customHeight="1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" customHeight="1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" customHeight="1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" customHeight="1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" customHeight="1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" customHeight="1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" customHeight="1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" customHeight="1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" customHeight="1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" customHeight="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" customHeight="1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" customHeight="1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" customHeight="1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" customHeight="1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" customHeight="1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" customHeight="1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" customHeight="1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" customHeight="1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" customHeight="1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" customHeight="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" customHeight="1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" customHeight="1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" customHeight="1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" customHeight="1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" customHeight="1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" customHeight="1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" customHeight="1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" customHeight="1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" customHeight="1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" customHeight="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" customHeight="1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" customHeight="1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" customHeight="1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" customHeight="1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" customHeight="1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" customHeight="1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" customHeight="1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" customHeight="1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" customHeight="1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" customHeight="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" customHeight="1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" customHeight="1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" customHeight="1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" customHeight="1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" customHeight="1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" customHeight="1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" customHeight="1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" customHeight="1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" customHeight="1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" customHeight="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" customHeight="1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" customHeight="1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" customHeight="1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" customHeight="1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" customHeight="1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" customHeight="1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" customHeight="1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" customHeight="1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" customHeight="1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" customHeight="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" customHeight="1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" customHeight="1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" customHeight="1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" customHeight="1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" customHeight="1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" customHeight="1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" customHeight="1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" customHeight="1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" customHeight="1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" customHeight="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" customHeight="1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" customHeight="1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" customHeight="1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" customHeight="1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" customHeight="1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" customHeight="1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" customHeight="1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" customHeight="1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" customHeight="1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" customHeight="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" customHeight="1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" customHeight="1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" customHeight="1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" customHeight="1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" customHeight="1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" customHeight="1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" customHeight="1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" customHeight="1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" customHeight="1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" customHeight="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" customHeight="1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" customHeight="1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" customHeight="1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" customHeight="1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" customHeight="1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" customHeight="1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" customHeight="1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" customHeight="1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" customHeight="1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" customHeight="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" customHeight="1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" customHeight="1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" customHeight="1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" customHeight="1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" customHeight="1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" customHeight="1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" customHeight="1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" customHeight="1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" customHeight="1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" customHeight="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" customHeight="1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" customHeight="1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" customHeight="1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" customHeight="1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" customHeight="1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" customHeight="1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" customHeight="1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" customHeight="1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" customHeight="1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" customHeight="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" customHeight="1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" customHeight="1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" customHeight="1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" customHeight="1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" customHeight="1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" customHeight="1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" customHeight="1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" customHeight="1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" customHeight="1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" customHeight="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" customHeight="1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" customHeight="1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" customHeight="1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" customHeight="1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" customHeight="1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" customHeight="1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" customHeight="1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" customHeight="1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" customHeight="1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" customHeight="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" customHeight="1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" customHeight="1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" customHeight="1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" customHeight="1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" customHeight="1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" customHeight="1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" customHeight="1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" customHeight="1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" customHeight="1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" customHeight="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" customHeight="1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" customHeight="1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" customHeight="1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" customHeight="1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" customHeight="1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" customHeight="1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" customHeight="1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" customHeight="1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" customHeight="1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" customHeight="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" customHeight="1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" customHeight="1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" customHeight="1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" customHeight="1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" customHeight="1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" customHeight="1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" customHeight="1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" customHeight="1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" customHeight="1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" customHeight="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" customHeight="1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" customHeight="1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" customHeight="1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" customHeight="1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" customHeight="1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" customHeight="1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" customHeight="1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" customHeight="1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" customHeight="1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" customHeight="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" customHeight="1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" customHeight="1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" customHeight="1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" customHeight="1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" customHeight="1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" customHeight="1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" customHeight="1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" customHeight="1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" customHeight="1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" customHeight="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" customHeight="1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" customHeight="1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" customHeight="1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" customHeight="1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" customHeight="1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" customHeight="1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" customHeight="1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" customHeight="1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" customHeight="1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" customHeight="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" customHeight="1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" customHeight="1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" customHeight="1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" customHeight="1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" customHeight="1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" customHeight="1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" customHeight="1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" customHeight="1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" customHeight="1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" customHeight="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" customHeight="1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" customHeight="1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" customHeight="1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" customHeight="1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" customHeight="1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" customHeight="1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" customHeight="1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" customHeight="1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" customHeight="1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" customHeight="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" customHeight="1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" customHeight="1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" customHeight="1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" customHeight="1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" customHeight="1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" customHeight="1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" customHeight="1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" customHeight="1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" customHeight="1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" customHeight="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" customHeight="1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" customHeight="1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" customHeight="1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" customHeight="1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" customHeight="1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" customHeight="1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" customHeight="1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" customHeight="1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" customHeight="1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" customHeight="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" customHeight="1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" customHeight="1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" customHeight="1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" customHeight="1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" customHeight="1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" customHeight="1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" customHeight="1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" customHeight="1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" customHeight="1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" customHeight="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" customHeight="1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" customHeight="1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" customHeight="1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" customHeight="1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" customHeight="1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" customHeight="1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" customHeight="1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" customHeight="1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" customHeight="1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" customHeight="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" customHeight="1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" customHeight="1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" customHeight="1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" customHeight="1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" customHeight="1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" customHeight="1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" customHeight="1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" customHeight="1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" customHeight="1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" customHeight="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" customHeight="1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" customHeight="1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" customHeight="1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" customHeight="1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" customHeight="1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" customHeight="1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" customHeight="1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" customHeight="1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" customHeight="1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" customHeight="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" customHeight="1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" customHeight="1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" customHeight="1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" customHeight="1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" customHeight="1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" customHeight="1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" customHeight="1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" customHeight="1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" customHeight="1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" customHeight="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" customHeight="1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" customHeight="1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" customHeight="1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" customHeight="1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" customHeight="1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" customHeight="1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" customHeight="1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" customHeight="1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" customHeight="1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" customHeight="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" customHeight="1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" customHeight="1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" customHeight="1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" customHeight="1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" customHeight="1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" customHeight="1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" customHeight="1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" customHeight="1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" customHeight="1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" customHeight="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" customHeight="1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" customHeight="1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" customHeight="1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" customHeight="1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" customHeight="1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" customHeight="1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" customHeight="1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" customHeight="1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" customHeight="1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" customHeight="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" customHeight="1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" customHeight="1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" customHeight="1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" customHeight="1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" customHeight="1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" customHeight="1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" customHeight="1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" customHeight="1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" customHeight="1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" customHeight="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" customHeight="1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" customHeight="1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" customHeight="1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" customHeight="1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" customHeight="1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" customHeight="1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" customHeight="1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" customHeight="1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" customHeight="1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" customHeight="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" customHeight="1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" customHeight="1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" customHeight="1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" customHeight="1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" customHeight="1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" customHeight="1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" customHeight="1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" customHeight="1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" customHeight="1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" customHeight="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" customHeight="1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" customHeight="1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" customHeight="1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" customHeight="1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" customHeight="1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" customHeight="1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" customHeight="1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" customHeight="1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" customHeight="1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" customHeight="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" customHeight="1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" customHeight="1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" customHeight="1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" customHeight="1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" customHeight="1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" customHeight="1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" customHeight="1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" customHeight="1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" customHeight="1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" customHeight="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" customHeight="1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" customHeight="1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" customHeight="1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" customHeight="1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" customHeight="1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" customHeight="1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" customHeight="1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" customHeight="1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" customHeight="1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" customHeight="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" customHeight="1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" customHeight="1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" customHeight="1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" customHeight="1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" customHeight="1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" customHeight="1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" customHeight="1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" customHeight="1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" customHeight="1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" customHeight="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" customHeight="1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" customHeight="1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" customHeight="1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" customHeight="1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" customHeight="1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" customHeight="1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" customHeight="1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" customHeight="1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" customHeight="1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" customHeight="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" customHeight="1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" customHeight="1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" customHeight="1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" customHeight="1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" customHeight="1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" customHeight="1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" customHeight="1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" customHeight="1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" customHeight="1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" customHeight="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" customHeight="1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" customHeight="1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" customHeight="1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" customHeight="1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" customHeight="1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" customHeight="1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" customHeight="1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" customHeight="1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" customHeight="1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D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</vt:lpstr>
      <vt:lpstr>Rates &amp; 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2026-06-09T03:20:05Z</dcterms:created>
  <dcterms:modified xsi:type="dcterms:W3CDTF">2026-06-09T03:20:05Z</dcterms:modified>
</cp:coreProperties>
</file>